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7.xml" ContentType="application/vnd.openxmlformats-officedocument.drawing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zdwEMrTns1wLgb3SZDPlFR2hjn1w1/aHmLBsqU6+nLib+lKPsWEBKxLsXn5h234wskRZkq9jbXT94xlYU0dH6Q==" workbookSaltValue="ypcvvDsJFK6oBS1k2e26Gw==" workbookSpinCount="100000" lockStructure="1"/>
  <bookViews>
    <workbookView xWindow="0" yWindow="0" windowWidth="24000" windowHeight="9750" firstSheet="1" activeTab="10"/>
  </bookViews>
  <sheets>
    <sheet name="Rowdesign" sheetId="2" state="hidden" r:id="rId1"/>
    <sheet name="georep1" sheetId="3" r:id="rId2"/>
    <sheet name="georep2" sheetId="4" r:id="rId3"/>
    <sheet name="georep3" sheetId="6" r:id="rId4"/>
    <sheet name="georep4" sheetId="8" r:id="rId5"/>
    <sheet name="georep5" sheetId="10" r:id="rId6"/>
    <sheet name="georep6" sheetId="11" r:id="rId7"/>
    <sheet name="georep7" sheetId="16" r:id="rId8"/>
    <sheet name="georep8" sheetId="13" r:id="rId9"/>
    <sheet name="georep9" sheetId="14" r:id="rId10"/>
    <sheet name="georep10" sheetId="1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3" l="1"/>
  <c r="Q24" i="16"/>
  <c r="B23" i="16" l="1"/>
  <c r="B20" i="16"/>
  <c r="B17" i="16"/>
  <c r="B14" i="16"/>
  <c r="C19" i="3" l="1"/>
  <c r="B16" i="3"/>
  <c r="B17" i="3" l="1"/>
  <c r="B18" i="3" s="1"/>
  <c r="J2" i="2"/>
  <c r="C2" i="2"/>
  <c r="J33" i="3"/>
  <c r="J20" i="3"/>
  <c r="J27" i="3"/>
  <c r="J32" i="3"/>
  <c r="J31" i="3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J15" i="3"/>
  <c r="J17" i="3"/>
  <c r="J24" i="3"/>
  <c r="J25" i="3"/>
  <c r="J26" i="3"/>
  <c r="J40" i="3"/>
  <c r="J50" i="3"/>
  <c r="J51" i="3"/>
  <c r="J52" i="3"/>
  <c r="J53" i="3"/>
  <c r="J54" i="3"/>
  <c r="J55" i="3"/>
  <c r="F21" i="15"/>
  <c r="E21" i="15"/>
  <c r="D21" i="15"/>
  <c r="G19" i="15"/>
  <c r="G20" i="15"/>
  <c r="G18" i="15"/>
  <c r="G15" i="15"/>
  <c r="G16" i="15"/>
  <c r="G14" i="15"/>
  <c r="E17" i="15"/>
  <c r="F17" i="15"/>
  <c r="D17" i="15"/>
  <c r="B18" i="15"/>
  <c r="B19" i="15" s="1"/>
  <c r="B20" i="15" s="1"/>
  <c r="B21" i="15" s="1"/>
  <c r="D11" i="13"/>
  <c r="E11" i="13"/>
  <c r="F11" i="13"/>
  <c r="G11" i="13"/>
  <c r="H11" i="13"/>
  <c r="I11" i="13"/>
  <c r="B13" i="14"/>
  <c r="B14" i="14" s="1"/>
  <c r="B15" i="14" s="1"/>
  <c r="B11" i="13"/>
  <c r="B12" i="13" s="1"/>
  <c r="B13" i="13" s="1"/>
  <c r="B14" i="13" s="1"/>
  <c r="B12" i="11"/>
  <c r="B23" i="10"/>
  <c r="B20" i="10"/>
  <c r="B17" i="10"/>
  <c r="B14" i="10"/>
  <c r="G21" i="15"/>
  <c r="G17" i="15"/>
  <c r="B15" i="6"/>
  <c r="B12" i="8"/>
  <c r="B3" i="2"/>
  <c r="B4" i="2" s="1"/>
  <c r="B5" i="2" s="1"/>
  <c r="B6" i="2" s="1"/>
  <c r="B7" i="2" s="1"/>
  <c r="B8" i="2" s="1"/>
  <c r="B9" i="2" s="1"/>
  <c r="B10" i="2" s="1"/>
  <c r="B11" i="2" s="1"/>
  <c r="B29" i="6"/>
  <c r="B22" i="6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D37" i="4"/>
  <c r="S12" i="4"/>
  <c r="S13" i="4"/>
  <c r="S14" i="4"/>
  <c r="S15" i="4"/>
  <c r="S16" i="4"/>
  <c r="S17" i="4"/>
  <c r="S18" i="4"/>
  <c r="S19" i="4"/>
  <c r="S20" i="4"/>
  <c r="S21" i="4"/>
  <c r="S36" i="4"/>
  <c r="S11" i="4"/>
  <c r="C14" i="3"/>
  <c r="C15" i="3" s="1"/>
  <c r="J16" i="6"/>
  <c r="S37" i="4" l="1"/>
  <c r="J49" i="3"/>
  <c r="J46" i="3"/>
  <c r="J43" i="3"/>
  <c r="J39" i="3"/>
  <c r="J36" i="3"/>
  <c r="J30" i="3"/>
  <c r="J23" i="3"/>
  <c r="J19" i="3"/>
  <c r="J16" i="3"/>
  <c r="C20" i="3" l="1"/>
  <c r="J48" i="3"/>
  <c r="J45" i="3"/>
  <c r="J42" i="3"/>
  <c r="J38" i="3"/>
  <c r="J35" i="3"/>
  <c r="J29" i="3"/>
  <c r="J22" i="3"/>
  <c r="C22" i="3"/>
  <c r="C23" i="3" s="1"/>
  <c r="C24" i="3" s="1"/>
  <c r="C25" i="3" s="1"/>
  <c r="C26" i="3" s="1"/>
  <c r="C27" i="3" s="1"/>
  <c r="B21" i="3"/>
  <c r="K30" i="6"/>
  <c r="J23" i="6"/>
  <c r="J30" i="6"/>
  <c r="L23" i="6"/>
  <c r="J56" i="3"/>
  <c r="G56" i="3"/>
  <c r="K23" i="6"/>
  <c r="B47" i="3"/>
  <c r="B52" i="3"/>
  <c r="B54" i="3"/>
  <c r="B50" i="3"/>
  <c r="B49" i="3"/>
  <c r="B53" i="3"/>
  <c r="B41" i="3"/>
  <c r="B37" i="3"/>
  <c r="B34" i="3"/>
  <c r="B55" i="3"/>
  <c r="B51" i="3"/>
  <c r="B44" i="3"/>
  <c r="B28" i="3"/>
  <c r="C30" i="3"/>
  <c r="C39" i="3"/>
  <c r="C36" i="3"/>
  <c r="C31" i="3"/>
  <c r="C29" i="3"/>
  <c r="C46" i="3"/>
  <c r="C45" i="3"/>
  <c r="C42" i="3"/>
  <c r="C40" i="3"/>
  <c r="C32" i="3"/>
  <c r="C33" i="3"/>
  <c r="C43" i="3"/>
  <c r="C38" i="3"/>
  <c r="C35" i="3"/>
  <c r="C48" i="3"/>
</calcChain>
</file>

<file path=xl/sharedStrings.xml><?xml version="1.0" encoding="utf-8"?>
<sst xmlns="http://schemas.openxmlformats.org/spreadsheetml/2006/main" count="556" uniqueCount="253">
  <si>
    <t>Д/д</t>
  </si>
  <si>
    <t>Ажлийн төрөл</t>
  </si>
  <si>
    <t>Ажлын хэмжээ</t>
  </si>
  <si>
    <t>Нэгжийн өртөг</t>
  </si>
  <si>
    <t>Хэмжих нэгж</t>
  </si>
  <si>
    <t>Төлөвлөсөн</t>
  </si>
  <si>
    <t>Гүйцэтгэсэн</t>
  </si>
  <si>
    <t>Маягт-1</t>
  </si>
  <si>
    <t>Тусгай зөвшөөрлийн дугаар:</t>
  </si>
  <si>
    <t>Ашигтмалтмалын төрөл:</t>
  </si>
  <si>
    <t>Он:</t>
  </si>
  <si>
    <t>Бэлтгэл ажил:</t>
  </si>
  <si>
    <t>Төлөвлөгөө зохиох</t>
  </si>
  <si>
    <t>АСЗ-н тайлал</t>
  </si>
  <si>
    <t>кв.км</t>
  </si>
  <si>
    <t>Дүн</t>
  </si>
  <si>
    <t>Талбайн зураглал:</t>
  </si>
  <si>
    <t>Талбайн сорьцлолт:</t>
  </si>
  <si>
    <t>Геохими</t>
  </si>
  <si>
    <t>Шлих</t>
  </si>
  <si>
    <t>т.км</t>
  </si>
  <si>
    <t>сорьц</t>
  </si>
  <si>
    <t>Соронзон хайгуул</t>
  </si>
  <si>
    <t>физ.цэг</t>
  </si>
  <si>
    <t>Уулын ажил:</t>
  </si>
  <si>
    <t>Суваг малталт</t>
  </si>
  <si>
    <t>куб.м</t>
  </si>
  <si>
    <t>т.м</t>
  </si>
  <si>
    <t>Шурф нэвтрэлт</t>
  </si>
  <si>
    <t>Булалт</t>
  </si>
  <si>
    <t>Өрөмдлөг:</t>
  </si>
  <si>
    <t>Баганат</t>
  </si>
  <si>
    <t>Сорьцлолт:</t>
  </si>
  <si>
    <t>Цэглэн</t>
  </si>
  <si>
    <t>Ховилон</t>
  </si>
  <si>
    <t>ш</t>
  </si>
  <si>
    <t>Лабораторийн ажил:</t>
  </si>
  <si>
    <t>Спектрийн</t>
  </si>
  <si>
    <t>Химийн</t>
  </si>
  <si>
    <t>Тээвэр:</t>
  </si>
  <si>
    <t>Ачаа тээвэр</t>
  </si>
  <si>
    <t>Хүн тээвэр</t>
  </si>
  <si>
    <t>км</t>
  </si>
  <si>
    <t>Топогеодезийн ажил:</t>
  </si>
  <si>
    <t>Байр зүйн зураглал</t>
  </si>
  <si>
    <t>Гидрогеологийн судалгаа:</t>
  </si>
  <si>
    <t>Геоэкологийн судалгаа:</t>
  </si>
  <si>
    <t>Археологи, палентологийн судалгаа:</t>
  </si>
  <si>
    <t>БОНС-ын зардал:</t>
  </si>
  <si>
    <t>Суурин боловсруулалт:</t>
  </si>
  <si>
    <t>Магадлашгүй зардал:</t>
  </si>
  <si>
    <t>Бусад:</t>
  </si>
  <si>
    <t>төг</t>
  </si>
  <si>
    <t>хүн/өдөр</t>
  </si>
  <si>
    <t>1 га талбайд ногдох төлөвлөсөн зардал:</t>
  </si>
  <si>
    <t>Тусгай зөвшөөрөл эзэмшигч:</t>
  </si>
  <si>
    <t>Тамга:</t>
  </si>
  <si>
    <t>Захирал:</t>
  </si>
  <si>
    <t>Геологич:</t>
  </si>
  <si>
    <t>Санхүүч:</t>
  </si>
  <si>
    <t>Маягт-2</t>
  </si>
  <si>
    <t>№</t>
  </si>
  <si>
    <t>Ажлын төрөл</t>
  </si>
  <si>
    <t>Цалин</t>
  </si>
  <si>
    <t>НДШимтгэл</t>
  </si>
  <si>
    <t>Материалын зардал</t>
  </si>
  <si>
    <t>Бичиг хэрэг</t>
  </si>
  <si>
    <t>Холбоо</t>
  </si>
  <si>
    <t>Томилолт</t>
  </si>
  <si>
    <t>Ашиглалтын зардал</t>
  </si>
  <si>
    <t>Түлш шатхуун</t>
  </si>
  <si>
    <t>Тээвэр</t>
  </si>
  <si>
    <t>хүн</t>
  </si>
  <si>
    <t>ачаа</t>
  </si>
  <si>
    <t>Засварын зардал</t>
  </si>
  <si>
    <t>БОНС-ын зардал</t>
  </si>
  <si>
    <t>Бусад</t>
  </si>
  <si>
    <t>Үндсэн хөрөнгийн элэгдэл</t>
  </si>
  <si>
    <t>Бусдаар гүйцэтгүүлсэн ажил</t>
  </si>
  <si>
    <t>Бэлтгэл ажил</t>
  </si>
  <si>
    <t>Төлөвлөгөө  зохиох</t>
  </si>
  <si>
    <t>Сансрын АСФЗ-ын тайлал</t>
  </si>
  <si>
    <t>Геологийн зураглал</t>
  </si>
  <si>
    <t>Эрлийн маршрут</t>
  </si>
  <si>
    <t>Талбайн сорьцлолт</t>
  </si>
  <si>
    <t>Геохимийн судалгаа</t>
  </si>
  <si>
    <t>Геофизикийн  судалгаа</t>
  </si>
  <si>
    <t>Гидрогеологийн  ажил</t>
  </si>
  <si>
    <t>Геоморфологийн ажил</t>
  </si>
  <si>
    <t>Топогеодезийн  ажил</t>
  </si>
  <si>
    <t>Уулын  ажил</t>
  </si>
  <si>
    <t>Копуш нэвтрэлт</t>
  </si>
  <si>
    <t>Өрөмдлөг</t>
  </si>
  <si>
    <t>Цохилтот</t>
  </si>
  <si>
    <t>Лабораторийн  ажил</t>
  </si>
  <si>
    <t>Суурин  боловсруулалт</t>
  </si>
  <si>
    <t>Нийт  дүн</t>
  </si>
  <si>
    <t>Хүлээн авсан:</t>
  </si>
  <si>
    <t>Нягтлан бодогч:</t>
  </si>
  <si>
    <t>Мэргэжилтэн:</t>
  </si>
  <si>
    <t>Цооногын мэдээлэл</t>
  </si>
  <si>
    <t>Байршил(Солбицол)</t>
  </si>
  <si>
    <t>Уртраг</t>
  </si>
  <si>
    <t>Өргөрөг</t>
  </si>
  <si>
    <t>Град</t>
  </si>
  <si>
    <t>Мин</t>
  </si>
  <si>
    <t>Сек</t>
  </si>
  <si>
    <t>Цооногын гүн, м</t>
  </si>
  <si>
    <t>Керний гарц хувь</t>
  </si>
  <si>
    <t>Авсан дээж сорьцын төрөл, тоо</t>
  </si>
  <si>
    <t>Эрлийн хэсэг, илрэлийн нэр</t>
  </si>
  <si>
    <t>Нийт</t>
  </si>
  <si>
    <t>Сувгын дугаар</t>
  </si>
  <si>
    <t>Шурфын дугаар</t>
  </si>
  <si>
    <t>Сувгын эзэлхүүн, м3</t>
  </si>
  <si>
    <t>Шурфын гүн, м</t>
  </si>
  <si>
    <t>Хэмжээ, м</t>
  </si>
  <si>
    <t>Урт</t>
  </si>
  <si>
    <t>Гүн</t>
  </si>
  <si>
    <t>Сорицлолтын ахиц, м</t>
  </si>
  <si>
    <t>Авсан дээж сорьцын тоо</t>
  </si>
  <si>
    <t>Маягт-4</t>
  </si>
  <si>
    <t>Дээж, сорьцын төрөл</t>
  </si>
  <si>
    <t>Дээж сорьцын тоо</t>
  </si>
  <si>
    <t>Шинжилгээний төрөл</t>
  </si>
  <si>
    <t>Тодорхойлсон элемент /нэгдэл, эрдэс/-ийн нэр</t>
  </si>
  <si>
    <t>Шинжилгээ хийсэн лаборатори /Улс/</t>
  </si>
  <si>
    <t>Дээжийн дубликат байгаа газар</t>
  </si>
  <si>
    <t>Солбицол</t>
  </si>
  <si>
    <t>Нэр</t>
  </si>
  <si>
    <t>АМ-н төрөл</t>
  </si>
  <si>
    <t>Метр</t>
  </si>
  <si>
    <t>X</t>
  </si>
  <si>
    <t>Y</t>
  </si>
  <si>
    <t>1.Орд</t>
  </si>
  <si>
    <t>Маягт-5</t>
  </si>
  <si>
    <t>2.Илрэл</t>
  </si>
  <si>
    <t>3.Эрдэсжсэн цэг, цэгэн гажиг</t>
  </si>
  <si>
    <t>4.Элемент болон эрдэсийн сарнилын хүрээ</t>
  </si>
  <si>
    <t>Маягт-6</t>
  </si>
  <si>
    <t>Баримтын нэр, дугаар</t>
  </si>
  <si>
    <t>Тоо ширхэг</t>
  </si>
  <si>
    <t>Баримт дахь ажлын хэмжээ</t>
  </si>
  <si>
    <t>Баримт бүрдүүлсэн геологчийн нэр</t>
  </si>
  <si>
    <t>Баримт хадгалж буй газар</t>
  </si>
  <si>
    <t>Тайлбар</t>
  </si>
  <si>
    <t>1.Суваг</t>
  </si>
  <si>
    <t>2.Шурф</t>
  </si>
  <si>
    <t>3.Цооног</t>
  </si>
  <si>
    <t>4.Бусад</t>
  </si>
  <si>
    <t>Уулын ажил /цооног/-ын дугаар</t>
  </si>
  <si>
    <t>Байршил/Солбицол/</t>
  </si>
  <si>
    <t>Нээсэн огноо</t>
  </si>
  <si>
    <t>Хаасан огноо</t>
  </si>
  <si>
    <t>Нөхөн сэргээлтийн ажлын хэмжээ</t>
  </si>
  <si>
    <t>Маягт-7</t>
  </si>
  <si>
    <t>Маягт-8</t>
  </si>
  <si>
    <t>Захиргааны ажилтан</t>
  </si>
  <si>
    <t>Инженер техникийн ажилтан</t>
  </si>
  <si>
    <t>Ажилчид</t>
  </si>
  <si>
    <t>тоо</t>
  </si>
  <si>
    <t>х/ө</t>
  </si>
  <si>
    <t>Нийт:</t>
  </si>
  <si>
    <t>Үүнээс:</t>
  </si>
  <si>
    <t>Маягт-9</t>
  </si>
  <si>
    <t>Геологын судалгааны ажил явуулсан эх үүсвэр</t>
  </si>
  <si>
    <t>Гадаадын хөрөнгө оруулалтаар</t>
  </si>
  <si>
    <t>Дотоодын хөрөнгө оруулалтаар</t>
  </si>
  <si>
    <t>Өөрийн хөрөнгөөр</t>
  </si>
  <si>
    <t>Зээлээр</t>
  </si>
  <si>
    <t>Гэрээгээр</t>
  </si>
  <si>
    <t>Хөрөнгө  оруулагчийн
нэр, хаяг, иргэний харъяалал</t>
  </si>
  <si>
    <t>Аж  ахуйн нэгжийн нэр:</t>
  </si>
  <si>
    <t>Хүний нөөцийн мэргэжилтэн:</t>
  </si>
  <si>
    <t>Маягт-10</t>
  </si>
  <si>
    <t>Дансны нэр:</t>
  </si>
  <si>
    <t>Тусгай зөвшөөрлийн дугаарууд:</t>
  </si>
  <si>
    <t>Хайгуулын зардал</t>
  </si>
  <si>
    <t>Бусад зардал /эмнэлгийн, зөвлөх, шүүмж гэх мэт/</t>
  </si>
  <si>
    <t>Биет бус хөрөнгийн хорогдуулалт</t>
  </si>
  <si>
    <t>ХҮХ дансны дүн</t>
  </si>
  <si>
    <t>Тусгай зөвшөөрлийн төлбөр</t>
  </si>
  <si>
    <t>ТЗ худалдаж авсан үнэ болон үйлчилгээний хөлс</t>
  </si>
  <si>
    <t>ТЗ-тэй холбоогүй зардлууд /Бусад ББХ/</t>
  </si>
  <si>
    <t>ББХ дансны  дүн</t>
  </si>
  <si>
    <t>Үзүүлэлт</t>
  </si>
  <si>
    <t>Эхний үлдэгдэл</t>
  </si>
  <si>
    <t>Нэмэгдсэн</t>
  </si>
  <si>
    <t>Хасагдсан</t>
  </si>
  <si>
    <t>Эцсийн үлдэгдэл</t>
  </si>
  <si>
    <t>АЖИЛЛАХ ХҮЧНИЙ МЭДЭЭ</t>
  </si>
  <si>
    <t xml:space="preserve">     Дотоод</t>
  </si>
  <si>
    <t xml:space="preserve">     Гадаад</t>
  </si>
  <si>
    <t>м3</t>
  </si>
  <si>
    <t>НИЙТ</t>
  </si>
  <si>
    <t>БАЙГАЛЬ ОРЧНЫ НӨХӨН СЭРГЭЭЛТИЙН АЖЛЫН МЭДЭЭ</t>
  </si>
  <si>
    <t>АНХДАГЧ МАТЕРИАЛЫН ЖАГСААЛТ</t>
  </si>
  <si>
    <t>ӨРӨМДЛӨГИЙН БОЛОН УУЛЫН АЖЛЫН МЭДЭЭЛЭЛ</t>
  </si>
  <si>
    <t>Бүс, биеийн үзүүлэлт</t>
  </si>
  <si>
    <t>Өргөн</t>
  </si>
  <si>
    <t>Дундаж агуулга</t>
  </si>
  <si>
    <t>Урьдчилан үнэлсэн баялаг /нөөц/-ийн хэмжээ</t>
  </si>
  <si>
    <t>ДЭЭЖ, СОРЬЦОНД ХИЙСЭН ЛАБОРАТОРИЙН ШИНЖИЛГЭЭНИЙ МЭДЭЭЛЭЛ</t>
  </si>
  <si>
    <t>Цооногийн дугаар</t>
  </si>
  <si>
    <t>Геоэкологийн судалгаа</t>
  </si>
  <si>
    <t>Архилоги, падеонтлогийн судалгаа</t>
  </si>
  <si>
    <t>Сорьцлолт</t>
  </si>
  <si>
    <t>БО-ны.нөх.сэрг.зардал</t>
  </si>
  <si>
    <t>Эрлийн маршрут:</t>
  </si>
  <si>
    <t>Геофизикийн ажил:</t>
  </si>
  <si>
    <t>Цахилгаан</t>
  </si>
  <si>
    <t>Цахилгаан-соронзон</t>
  </si>
  <si>
    <t>Хүндийн хүчний</t>
  </si>
  <si>
    <t>Чичирхийллийн</t>
  </si>
  <si>
    <t>Цацраг идэвхжлийн</t>
  </si>
  <si>
    <t>Далд малталт</t>
  </si>
  <si>
    <t>Керний</t>
  </si>
  <si>
    <t>ХАЙГУУЛЫН ТАЛБАЙД ГҮЙЦЭТГЭСЭН ГЕОЛОГИ ХАЙГУУЛЫН АЖИЛ (ТӨЛӨВЛӨГӨӨНИЙ БИЕЛЭЛТ)</t>
  </si>
  <si>
    <t>Траншей</t>
  </si>
  <si>
    <t>Ашигт малтмал газрын тосны газар</t>
  </si>
  <si>
    <t>ХАЙГУУЛЫН ТАЛБАЙД ГҮЙЦЭТГЭСЭН ГХА-ЫН ЗАРДЛЫН ЗАДАРГАА</t>
  </si>
  <si>
    <t>Хэд дэх жил:</t>
  </si>
  <si>
    <t>Тайлангийн он:</t>
  </si>
  <si>
    <t>ХАЙГУУЛЫН АЖИЛД ЗАРЦУУЛСАН ХӨРӨНГИЙН ЭХ ҮҮСВЭРИЙН МЭДЭЭ</t>
  </si>
  <si>
    <t>ХАЙГУУЛЫН АЖЛЫН ЗАРДЛЫН ДҮНГИЙН ЗАДАРГАА</t>
  </si>
  <si>
    <t>Ашигт малтмалын төрөл:</t>
  </si>
  <si>
    <t>Маягт-3</t>
  </si>
  <si>
    <t>GIVNAME</t>
  </si>
  <si>
    <t>GEOLOGYST</t>
  </si>
  <si>
    <t>ACCOUNTANT</t>
  </si>
  <si>
    <t>LICENCENUM</t>
  </si>
  <si>
    <t>MINTYPE</t>
  </si>
  <si>
    <t>REPORTYEAR</t>
  </si>
  <si>
    <t>LPNAME</t>
  </si>
  <si>
    <t>MANAGER</t>
  </si>
  <si>
    <t>COMPANYNAME</t>
  </si>
  <si>
    <t>LICENCENUMBERS</t>
  </si>
  <si>
    <t>ORDERYEAR</t>
  </si>
  <si>
    <t>HRMANAGER</t>
  </si>
  <si>
    <t>DANSNAME</t>
  </si>
  <si>
    <r>
      <rPr>
        <sz val="11"/>
        <color rgb="FFFF0000"/>
        <rFont val="Arial"/>
        <family val="2"/>
      </rPr>
      <t>**</t>
    </r>
    <r>
      <rPr>
        <sz val="11"/>
        <color theme="1"/>
        <rFont val="Arial"/>
        <family val="2"/>
      </rPr>
      <t>Microsoft Excel дээр алдаа гарвал хадгалаад дахин нээнэ үү.</t>
    </r>
  </si>
  <si>
    <t>LPREG</t>
  </si>
  <si>
    <t>ААН-ийн РД:</t>
  </si>
  <si>
    <t>ТЗ олгосон огноо:</t>
  </si>
  <si>
    <t>LICGRANTDATE</t>
  </si>
  <si>
    <t>AREASIZE</t>
  </si>
  <si>
    <t>Талбайн хэмжээ:</t>
  </si>
  <si>
    <t>ХАЙГУУЛЫН ТУСГАЙ ЗӨВШӨӨРЛИЙН ТАЛБАЙД ТОГТООСОН АШИГТ МАЛТМАЛЫН МЭДЭЭЛЭЛ</t>
  </si>
  <si>
    <t>мян.төг</t>
  </si>
  <si>
    <t>Төсөв</t>
  </si>
  <si>
    <t>Зардлын нийт дүн</t>
  </si>
  <si>
    <t>Зардал</t>
  </si>
  <si>
    <t>Хөрөнгө оруулалтын
хэмжээ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</si>
</sst>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22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2" fillId="0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Protection="1"/>
    <xf numFmtId="0" fontId="6" fillId="0" borderId="0" xfId="0" applyFont="1" applyFill="1" applyAlignment="1" applyProtection="1">
      <alignment horizontal="left" vertical="center"/>
    </xf>
    <xf numFmtId="0" fontId="1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 wrapText="1" indent="2"/>
    </xf>
    <xf numFmtId="2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2" xfId="0" applyFill="1" applyBorder="1"/>
    <xf numFmtId="0" fontId="2" fillId="0" borderId="1" xfId="0" applyFont="1" applyFill="1" applyBorder="1" applyAlignment="1">
      <alignment vertical="center"/>
    </xf>
    <xf numFmtId="0" fontId="6" fillId="0" borderId="0" xfId="0" applyFont="1" applyFill="1" applyAlignment="1" applyProtection="1">
      <alignment horizontal="left" vertical="center" indent="6"/>
    </xf>
    <xf numFmtId="0" fontId="1" fillId="0" borderId="0" xfId="0" applyFont="1" applyFill="1" applyAlignment="1">
      <alignment horizontal="left" vertical="center" indent="6"/>
    </xf>
    <xf numFmtId="0" fontId="1" fillId="0" borderId="0" xfId="0" applyFont="1" applyFill="1"/>
    <xf numFmtId="0" fontId="1" fillId="0" borderId="0" xfId="0" applyFont="1" applyFill="1" applyAlignment="1">
      <alignment horizontal="left" indent="6"/>
    </xf>
    <xf numFmtId="0" fontId="1" fillId="0" borderId="3" xfId="0" applyFont="1" applyFill="1" applyBorder="1" applyAlignment="1">
      <alignment horizontal="left" vertical="center" indent="6"/>
    </xf>
    <xf numFmtId="0" fontId="1" fillId="0" borderId="1" xfId="0" applyFont="1" applyFill="1" applyBorder="1" applyAlignment="1">
      <alignment vertical="center" wrapText="1"/>
    </xf>
    <xf numFmtId="0" fontId="1" fillId="0" borderId="3" xfId="0" applyFont="1" applyFill="1" applyBorder="1" applyAlignment="1">
      <alignment horizontal="left" vertical="center"/>
    </xf>
    <xf numFmtId="0" fontId="1" fillId="0" borderId="3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2" fillId="0" borderId="0" xfId="0" applyFont="1" applyFill="1"/>
    <xf numFmtId="0" fontId="1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>
      <alignment horizontal="left" vertical="center" wrapText="1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2" xfId="0" applyFont="1" applyFill="1" applyBorder="1" applyAlignment="1">
      <alignment vertical="center" wrapText="1"/>
    </xf>
    <xf numFmtId="0" fontId="1" fillId="0" borderId="4" xfId="0" applyFont="1" applyFill="1" applyBorder="1" applyAlignment="1">
      <alignment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 applyProtection="1">
      <alignment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6" xfId="0" applyFont="1" applyFill="1" applyBorder="1" applyAlignment="1">
      <alignment vertical="center" wrapText="1"/>
    </xf>
    <xf numFmtId="0" fontId="1" fillId="0" borderId="8" xfId="0" applyFont="1" applyFill="1" applyBorder="1" applyAlignment="1">
      <alignment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vertical="center" wrapText="1"/>
    </xf>
    <xf numFmtId="0" fontId="1" fillId="0" borderId="10" xfId="0" applyFont="1" applyFill="1" applyBorder="1" applyAlignment="1">
      <alignment vertical="center" wrapText="1"/>
    </xf>
    <xf numFmtId="0" fontId="1" fillId="0" borderId="1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3" xfId="0" applyFont="1" applyFill="1" applyBorder="1" applyAlignment="1" applyProtection="1">
      <alignment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vertical="center"/>
      <protection locked="0"/>
    </xf>
    <xf numFmtId="0" fontId="1" fillId="0" borderId="14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1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>
      <alignment vertical="center"/>
    </xf>
    <xf numFmtId="0" fontId="1" fillId="0" borderId="3" xfId="0" applyFont="1" applyFill="1" applyBorder="1" applyAlignment="1">
      <alignment vertical="center" wrapText="1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Alignment="1" applyProtection="1">
      <alignment horizontal="left" vertical="center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2" xfId="0" applyFill="1" applyBorder="1" applyProtection="1"/>
    <xf numFmtId="0" fontId="1" fillId="0" borderId="3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0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right" vertical="center"/>
    </xf>
    <xf numFmtId="0" fontId="1" fillId="0" borderId="10" xfId="0" applyFont="1" applyFill="1" applyBorder="1" applyAlignment="1">
      <alignment horizontal="right" vertical="center"/>
    </xf>
    <xf numFmtId="0" fontId="1" fillId="0" borderId="1" xfId="0" applyFont="1" applyFill="1" applyBorder="1" applyAlignment="1" applyProtection="1">
      <alignment horizontal="right" vertical="center"/>
      <protection locked="0"/>
    </xf>
    <xf numFmtId="0" fontId="1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>
      <alignment horizontal="right" vertical="center"/>
    </xf>
    <xf numFmtId="4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>
      <alignment horizontal="right" vertical="center" wrapText="1"/>
    </xf>
    <xf numFmtId="4" fontId="1" fillId="0" borderId="1" xfId="0" applyNumberFormat="1" applyFont="1" applyFill="1" applyBorder="1" applyAlignment="1">
      <alignment horizontal="right" vertical="center" wrapText="1"/>
    </xf>
    <xf numFmtId="4" fontId="2" fillId="0" borderId="1" xfId="0" applyNumberFormat="1" applyFont="1" applyFill="1" applyBorder="1" applyAlignment="1" applyProtection="1">
      <alignment vertical="center" wrapText="1"/>
      <protection locked="0"/>
    </xf>
    <xf numFmtId="4" fontId="1" fillId="0" borderId="1" xfId="0" applyNumberFormat="1" applyFont="1" applyFill="1" applyBorder="1" applyAlignment="1" applyProtection="1">
      <alignment horizontal="right" vertical="center"/>
      <protection locked="0"/>
    </xf>
    <xf numFmtId="4" fontId="1" fillId="0" borderId="1" xfId="0" applyNumberFormat="1" applyFont="1" applyFill="1" applyBorder="1" applyAlignment="1">
      <alignment horizontal="right" vertical="center"/>
    </xf>
    <xf numFmtId="4" fontId="1" fillId="0" borderId="1" xfId="0" applyNumberFormat="1" applyFont="1" applyFill="1" applyBorder="1" applyProtection="1">
      <protection locked="0"/>
    </xf>
    <xf numFmtId="4" fontId="2" fillId="0" borderId="1" xfId="0" applyNumberFormat="1" applyFont="1" applyFill="1" applyBorder="1"/>
    <xf numFmtId="4" fontId="2" fillId="0" borderId="1" xfId="0" applyNumberFormat="1" applyFont="1" applyFill="1" applyBorder="1" applyAlignment="1" applyProtection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4" xfId="0" applyNumberFormat="1" applyFont="1" applyFill="1" applyBorder="1" applyAlignment="1">
      <alignment vertical="center"/>
    </xf>
    <xf numFmtId="4" fontId="1" fillId="0" borderId="4" xfId="0" applyNumberFormat="1" applyFont="1" applyFill="1" applyBorder="1" applyAlignment="1">
      <alignment horizontal="right" vertical="center"/>
    </xf>
    <xf numFmtId="0" fontId="1" fillId="0" borderId="7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1" fillId="0" borderId="0" xfId="0" applyFont="1" applyFill="1" applyAlignment="1" applyProtection="1">
      <alignment horizontal="left" vertical="center"/>
      <protection locked="0"/>
    </xf>
    <xf numFmtId="0" fontId="7" fillId="0" borderId="0" xfId="0" applyFont="1" applyFill="1" applyAlignment="1" applyProtection="1">
      <alignment horizontal="left" vertical="center" indent="8"/>
    </xf>
    <xf numFmtId="0" fontId="1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8" fillId="0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horizontal="left" vertical="center" indent="11"/>
    </xf>
    <xf numFmtId="0" fontId="1" fillId="0" borderId="0" xfId="0" applyFont="1" applyFill="1" applyAlignment="1" applyProtection="1">
      <alignment horizontal="left" vertical="center"/>
    </xf>
    <xf numFmtId="0" fontId="10" fillId="0" borderId="0" xfId="0" applyFont="1" applyFill="1" applyAlignment="1" applyProtection="1">
      <alignment horizontal="left" vertic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0" fontId="2" fillId="0" borderId="1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10" xfId="0" applyFont="1" applyFill="1" applyBorder="1" applyAlignment="1">
      <alignment horizontal="left" vertical="center"/>
    </xf>
    <xf numFmtId="0" fontId="7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6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5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2" fillId="0" borderId="11" xfId="0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3" fillId="0" borderId="10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horizontal="left" vertical="center" indent="1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0</xdr:col>
          <xdr:colOff>323850</xdr:colOff>
          <xdr:row>1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</xdr:row>
          <xdr:rowOff>28575</xdr:rowOff>
        </xdr:from>
        <xdr:to>
          <xdr:col>0</xdr:col>
          <xdr:colOff>323850</xdr:colOff>
          <xdr:row>2</xdr:row>
          <xdr:rowOff>152400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28575</xdr:rowOff>
        </xdr:from>
        <xdr:to>
          <xdr:col>0</xdr:col>
          <xdr:colOff>323850</xdr:colOff>
          <xdr:row>3</xdr:row>
          <xdr:rowOff>152400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28575</xdr:rowOff>
        </xdr:from>
        <xdr:to>
          <xdr:col>0</xdr:col>
          <xdr:colOff>323850</xdr:colOff>
          <xdr:row>4</xdr:row>
          <xdr:rowOff>152400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28575</xdr:rowOff>
        </xdr:from>
        <xdr:to>
          <xdr:col>0</xdr:col>
          <xdr:colOff>323850</xdr:colOff>
          <xdr:row>5</xdr:row>
          <xdr:rowOff>152400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6</xdr:row>
          <xdr:rowOff>28575</xdr:rowOff>
        </xdr:from>
        <xdr:to>
          <xdr:col>0</xdr:col>
          <xdr:colOff>323850</xdr:colOff>
          <xdr:row>6</xdr:row>
          <xdr:rowOff>152400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7</xdr:row>
          <xdr:rowOff>28575</xdr:rowOff>
        </xdr:from>
        <xdr:to>
          <xdr:col>0</xdr:col>
          <xdr:colOff>323850</xdr:colOff>
          <xdr:row>7</xdr:row>
          <xdr:rowOff>152400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8</xdr:row>
          <xdr:rowOff>28575</xdr:rowOff>
        </xdr:from>
        <xdr:to>
          <xdr:col>0</xdr:col>
          <xdr:colOff>323850</xdr:colOff>
          <xdr:row>8</xdr:row>
          <xdr:rowOff>152400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9</xdr:row>
          <xdr:rowOff>28575</xdr:rowOff>
        </xdr:from>
        <xdr:to>
          <xdr:col>0</xdr:col>
          <xdr:colOff>323850</xdr:colOff>
          <xdr:row>9</xdr:row>
          <xdr:rowOff>152400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10</xdr:row>
          <xdr:rowOff>28575</xdr:rowOff>
        </xdr:from>
        <xdr:to>
          <xdr:col>0</xdr:col>
          <xdr:colOff>323850</xdr:colOff>
          <xdr:row>10</xdr:row>
          <xdr:rowOff>152400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28575</xdr:rowOff>
        </xdr:from>
        <xdr:to>
          <xdr:col>0</xdr:col>
          <xdr:colOff>323850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17</xdr:row>
          <xdr:rowOff>28575</xdr:rowOff>
        </xdr:from>
        <xdr:to>
          <xdr:col>0</xdr:col>
          <xdr:colOff>323850</xdr:colOff>
          <xdr:row>17</xdr:row>
          <xdr:rowOff>152400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20</xdr:row>
          <xdr:rowOff>28575</xdr:rowOff>
        </xdr:from>
        <xdr:to>
          <xdr:col>0</xdr:col>
          <xdr:colOff>323850</xdr:colOff>
          <xdr:row>20</xdr:row>
          <xdr:rowOff>152400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33</xdr:row>
          <xdr:rowOff>28575</xdr:rowOff>
        </xdr:from>
        <xdr:to>
          <xdr:col>0</xdr:col>
          <xdr:colOff>323850</xdr:colOff>
          <xdr:row>33</xdr:row>
          <xdr:rowOff>152400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36</xdr:row>
          <xdr:rowOff>28575</xdr:rowOff>
        </xdr:from>
        <xdr:to>
          <xdr:col>0</xdr:col>
          <xdr:colOff>323850</xdr:colOff>
          <xdr:row>36</xdr:row>
          <xdr:rowOff>152400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40</xdr:row>
          <xdr:rowOff>28575</xdr:rowOff>
        </xdr:from>
        <xdr:to>
          <xdr:col>0</xdr:col>
          <xdr:colOff>323850</xdr:colOff>
          <xdr:row>40</xdr:row>
          <xdr:rowOff>152400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43</xdr:row>
          <xdr:rowOff>28575</xdr:rowOff>
        </xdr:from>
        <xdr:to>
          <xdr:col>0</xdr:col>
          <xdr:colOff>323850</xdr:colOff>
          <xdr:row>43</xdr:row>
          <xdr:rowOff>152400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46</xdr:row>
          <xdr:rowOff>28575</xdr:rowOff>
        </xdr:from>
        <xdr:to>
          <xdr:col>0</xdr:col>
          <xdr:colOff>323850</xdr:colOff>
          <xdr:row>46</xdr:row>
          <xdr:rowOff>152400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54</xdr:row>
          <xdr:rowOff>28575</xdr:rowOff>
        </xdr:from>
        <xdr:to>
          <xdr:col>0</xdr:col>
          <xdr:colOff>323850</xdr:colOff>
          <xdr:row>54</xdr:row>
          <xdr:rowOff>152400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27</xdr:row>
          <xdr:rowOff>28575</xdr:rowOff>
        </xdr:from>
        <xdr:to>
          <xdr:col>0</xdr:col>
          <xdr:colOff>323850</xdr:colOff>
          <xdr:row>27</xdr:row>
          <xdr:rowOff>152400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958925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854150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14</xdr:row>
          <xdr:rowOff>38100</xdr:rowOff>
        </xdr:from>
        <xdr:to>
          <xdr:col>0</xdr:col>
          <xdr:colOff>323850</xdr:colOff>
          <xdr:row>14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21</xdr:row>
          <xdr:rowOff>38100</xdr:rowOff>
        </xdr:from>
        <xdr:to>
          <xdr:col>0</xdr:col>
          <xdr:colOff>323850</xdr:colOff>
          <xdr:row>21</xdr:row>
          <xdr:rowOff>161925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28</xdr:row>
          <xdr:rowOff>38100</xdr:rowOff>
        </xdr:from>
        <xdr:to>
          <xdr:col>0</xdr:col>
          <xdr:colOff>323850</xdr:colOff>
          <xdr:row>28</xdr:row>
          <xdr:rowOff>161925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11</xdr:row>
          <xdr:rowOff>28575</xdr:rowOff>
        </xdr:from>
        <xdr:to>
          <xdr:col>0</xdr:col>
          <xdr:colOff>323850</xdr:colOff>
          <xdr:row>11</xdr:row>
          <xdr:rowOff>152400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844625</xdr:colOff>
      <xdr:row>0</xdr:row>
      <xdr:rowOff>1143001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854150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13</xdr:row>
          <xdr:rowOff>28575</xdr:rowOff>
        </xdr:from>
        <xdr:to>
          <xdr:col>0</xdr:col>
          <xdr:colOff>323850</xdr:colOff>
          <xdr:row>13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16</xdr:row>
          <xdr:rowOff>28575</xdr:rowOff>
        </xdr:from>
        <xdr:to>
          <xdr:col>0</xdr:col>
          <xdr:colOff>323850</xdr:colOff>
          <xdr:row>16</xdr:row>
          <xdr:rowOff>152400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19</xdr:row>
          <xdr:rowOff>28575</xdr:rowOff>
        </xdr:from>
        <xdr:to>
          <xdr:col>0</xdr:col>
          <xdr:colOff>323850</xdr:colOff>
          <xdr:row>19</xdr:row>
          <xdr:rowOff>152400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22</xdr:row>
          <xdr:rowOff>28575</xdr:rowOff>
        </xdr:from>
        <xdr:to>
          <xdr:col>0</xdr:col>
          <xdr:colOff>323850</xdr:colOff>
          <xdr:row>22</xdr:row>
          <xdr:rowOff>152400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11</xdr:row>
          <xdr:rowOff>28575</xdr:rowOff>
        </xdr:from>
        <xdr:to>
          <xdr:col>0</xdr:col>
          <xdr:colOff>323850</xdr:colOff>
          <xdr:row>11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844625</xdr:colOff>
      <xdr:row>0</xdr:row>
      <xdr:rowOff>1143001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13</xdr:row>
          <xdr:rowOff>28575</xdr:rowOff>
        </xdr:from>
        <xdr:to>
          <xdr:col>0</xdr:col>
          <xdr:colOff>323850</xdr:colOff>
          <xdr:row>13</xdr:row>
          <xdr:rowOff>152400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16</xdr:row>
          <xdr:rowOff>19050</xdr:rowOff>
        </xdr:from>
        <xdr:to>
          <xdr:col>0</xdr:col>
          <xdr:colOff>323850</xdr:colOff>
          <xdr:row>16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19</xdr:row>
          <xdr:rowOff>28575</xdr:rowOff>
        </xdr:from>
        <xdr:to>
          <xdr:col>0</xdr:col>
          <xdr:colOff>323850</xdr:colOff>
          <xdr:row>19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22</xdr:row>
          <xdr:rowOff>19050</xdr:rowOff>
        </xdr:from>
        <xdr:to>
          <xdr:col>0</xdr:col>
          <xdr:colOff>323850</xdr:colOff>
          <xdr:row>22</xdr:row>
          <xdr:rowOff>142875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806525</xdr:colOff>
      <xdr:row>0</xdr:row>
      <xdr:rowOff>1143001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844625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844625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2</xdr:col>
      <xdr:colOff>797000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Q11"/>
  <sheetViews>
    <sheetView workbookViewId="0">
      <selection activeCell="A2" sqref="A2:XFD2"/>
    </sheetView>
  </sheetViews>
  <sheetFormatPr defaultRowHeight="15" x14ac:dyDescent="0.25"/>
  <cols>
    <col min="2" max="16384" width="9.140625" style="25"/>
  </cols>
  <sheetData>
    <row r="2" spans="1:17" x14ac:dyDescent="0.25">
      <c r="B2" s="79"/>
      <c r="C2" s="80">
        <f ca="1">OFFSET($C2,-1,0,1,1)+1</f>
        <v>1</v>
      </c>
      <c r="D2" s="81"/>
      <c r="E2" s="23"/>
      <c r="F2" s="23"/>
      <c r="G2" s="115"/>
      <c r="H2" s="115"/>
      <c r="I2" s="23"/>
      <c r="J2" s="119">
        <f t="shared" ref="J2" si="0">H2*I2</f>
        <v>0</v>
      </c>
    </row>
    <row r="3" spans="1:17" x14ac:dyDescent="0.25">
      <c r="A3" s="83"/>
      <c r="B3" s="82">
        <f t="shared" ref="B3:B11" ca="1" si="1">OFFSET($B3,-1,0,1,1)+1</f>
        <v>1</v>
      </c>
      <c r="C3" s="41"/>
      <c r="D3" s="23"/>
      <c r="E3" s="23"/>
      <c r="F3" s="23"/>
      <c r="G3" s="23"/>
      <c r="H3" s="23"/>
      <c r="I3" s="23"/>
      <c r="J3" s="23"/>
      <c r="K3" s="124"/>
      <c r="L3" s="125"/>
      <c r="M3" s="23"/>
      <c r="N3" s="23"/>
    </row>
    <row r="4" spans="1:17" x14ac:dyDescent="0.25">
      <c r="B4" s="82">
        <f t="shared" ca="1" si="1"/>
        <v>2</v>
      </c>
      <c r="C4" s="41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</row>
    <row r="5" spans="1:17" x14ac:dyDescent="0.25">
      <c r="B5" s="82">
        <f t="shared" ca="1" si="1"/>
        <v>3</v>
      </c>
      <c r="C5" s="45"/>
      <c r="D5" s="46"/>
      <c r="E5" s="46"/>
      <c r="F5" s="46"/>
      <c r="G5" s="46"/>
      <c r="H5" s="46"/>
    </row>
    <row r="6" spans="1:17" x14ac:dyDescent="0.25">
      <c r="B6" s="82">
        <f t="shared" ca="1" si="1"/>
        <v>4</v>
      </c>
      <c r="C6" s="41"/>
      <c r="D6" s="41"/>
      <c r="E6" s="23"/>
      <c r="F6" s="23"/>
      <c r="G6" s="23"/>
      <c r="H6" s="23"/>
      <c r="I6" s="23"/>
      <c r="J6" s="23"/>
      <c r="K6" s="23"/>
      <c r="L6" s="23"/>
      <c r="M6" s="65"/>
      <c r="N6" s="23"/>
      <c r="O6" s="23"/>
      <c r="P6" s="23"/>
      <c r="Q6" s="23"/>
    </row>
    <row r="7" spans="1:17" x14ac:dyDescent="0.25">
      <c r="B7" s="82">
        <f t="shared" ca="1" si="1"/>
        <v>5</v>
      </c>
      <c r="C7" s="45"/>
      <c r="D7" s="46"/>
      <c r="E7" s="46"/>
      <c r="F7" s="46"/>
      <c r="G7" s="46"/>
      <c r="H7" s="46"/>
    </row>
    <row r="8" spans="1:17" x14ac:dyDescent="0.25">
      <c r="B8" s="82">
        <f t="shared" ca="1" si="1"/>
        <v>6</v>
      </c>
      <c r="C8" s="41"/>
      <c r="D8" s="23"/>
      <c r="E8" s="23"/>
      <c r="F8" s="23"/>
      <c r="G8" s="23"/>
      <c r="H8" s="23"/>
      <c r="I8" s="23"/>
      <c r="J8" s="23"/>
      <c r="K8" s="23"/>
      <c r="L8" s="65"/>
      <c r="M8" s="82" t="s">
        <v>193</v>
      </c>
      <c r="N8" s="23"/>
      <c r="O8" s="23"/>
      <c r="P8" s="23"/>
      <c r="Q8" s="115"/>
    </row>
    <row r="9" spans="1:17" x14ac:dyDescent="0.25">
      <c r="A9" s="83"/>
      <c r="B9" s="82">
        <f t="shared" ca="1" si="1"/>
        <v>7</v>
      </c>
      <c r="C9" s="41"/>
      <c r="D9" s="23"/>
      <c r="E9" s="23"/>
      <c r="F9" s="23"/>
      <c r="G9" s="23"/>
      <c r="H9" s="23"/>
      <c r="I9" s="23"/>
      <c r="J9" s="23"/>
      <c r="K9" s="124"/>
      <c r="L9" s="125"/>
      <c r="M9" s="23"/>
      <c r="N9" s="23"/>
    </row>
    <row r="10" spans="1:17" x14ac:dyDescent="0.25">
      <c r="B10" s="82">
        <f t="shared" ca="1" si="1"/>
        <v>8</v>
      </c>
      <c r="C10" s="41"/>
      <c r="D10" s="23"/>
      <c r="E10" s="23"/>
      <c r="F10" s="23"/>
      <c r="G10" s="23"/>
      <c r="H10" s="23"/>
      <c r="I10" s="23"/>
      <c r="J10" s="23"/>
      <c r="K10" s="23"/>
      <c r="L10" s="65"/>
      <c r="M10" s="82" t="s">
        <v>27</v>
      </c>
      <c r="N10" s="23"/>
      <c r="O10" s="23"/>
      <c r="P10" s="23"/>
      <c r="Q10" s="115"/>
    </row>
    <row r="11" spans="1:17" x14ac:dyDescent="0.25">
      <c r="B11" s="82">
        <f t="shared" ca="1" si="1"/>
        <v>9</v>
      </c>
      <c r="C11" s="41"/>
      <c r="D11" s="23"/>
      <c r="E11" s="23"/>
      <c r="F11" s="23"/>
      <c r="G11" s="23"/>
      <c r="H11" s="23"/>
      <c r="I11" s="23"/>
      <c r="J11" s="23"/>
      <c r="K11" s="23"/>
      <c r="L11" s="65"/>
      <c r="M11" s="23"/>
      <c r="N11" s="23"/>
      <c r="O11" s="23"/>
      <c r="P11" s="23"/>
      <c r="Q11" s="115"/>
    </row>
  </sheetData>
  <mergeCells count="2">
    <mergeCell ref="K3:L3"/>
    <mergeCell ref="K9:L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0</xdr:col>
                    <xdr:colOff>323850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georep3_delete_row1">
                <anchor moveWithCells="1" sizeWithCells="1">
                  <from>
                    <xdr:col>0</xdr:col>
                    <xdr:colOff>133350</xdr:colOff>
                    <xdr:row>2</xdr:row>
                    <xdr:rowOff>28575</xdr:rowOff>
                  </from>
                  <to>
                    <xdr:col>0</xdr:col>
                    <xdr:colOff>323850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georep3_delete_row2">
                <anchor moveWithCells="1" sizeWithCells="1">
                  <from>
                    <xdr:col>0</xdr:col>
                    <xdr:colOff>133350</xdr:colOff>
                    <xdr:row>3</xdr:row>
                    <xdr:rowOff>28575</xdr:rowOff>
                  </from>
                  <to>
                    <xdr:col>0</xdr:col>
                    <xdr:colOff>323850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4</xdr:row>
                    <xdr:rowOff>28575</xdr:rowOff>
                  </from>
                  <to>
                    <xdr:col>0</xdr:col>
                    <xdr:colOff>323850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Button 5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5</xdr:row>
                    <xdr:rowOff>28575</xdr:rowOff>
                  </from>
                  <to>
                    <xdr:col>0</xdr:col>
                    <xdr:colOff>323850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Button 6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6</xdr:row>
                    <xdr:rowOff>28575</xdr:rowOff>
                  </from>
                  <to>
                    <xdr:col>0</xdr:col>
                    <xdr:colOff>323850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Button 7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7</xdr:row>
                    <xdr:rowOff>28575</xdr:rowOff>
                  </from>
                  <to>
                    <xdr:col>0</xdr:col>
                    <xdr:colOff>323850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Button 8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8</xdr:row>
                    <xdr:rowOff>28575</xdr:rowOff>
                  </from>
                  <to>
                    <xdr:col>0</xdr:col>
                    <xdr:colOff>323850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2" name="Button 9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9</xdr:row>
                    <xdr:rowOff>28575</xdr:rowOff>
                  </from>
                  <to>
                    <xdr:col>0</xdr:col>
                    <xdr:colOff>323850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3" name="Button 10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10</xdr:row>
                    <xdr:rowOff>28575</xdr:rowOff>
                  </from>
                  <to>
                    <xdr:col>0</xdr:col>
                    <xdr:colOff>323850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J334"/>
  <sheetViews>
    <sheetView showGridLines="0" zoomScaleNormal="100" workbookViewId="0">
      <selection activeCell="F16" sqref="F16"/>
    </sheetView>
  </sheetViews>
  <sheetFormatPr defaultRowHeight="14.25" x14ac:dyDescent="0.25"/>
  <cols>
    <col min="1" max="1" width="6.7109375" style="13" customWidth="1"/>
    <col min="2" max="2" width="4.140625" style="13" customWidth="1"/>
    <col min="3" max="3" width="3.85546875" style="13" customWidth="1"/>
    <col min="4" max="4" width="36.42578125" style="13" customWidth="1"/>
    <col min="5" max="5" width="19.85546875" style="13" customWidth="1"/>
    <col min="6" max="6" width="17.42578125" style="13" customWidth="1"/>
    <col min="7" max="7" width="25.140625" style="13" customWidth="1"/>
    <col min="8" max="8" width="20.5703125" style="13" customWidth="1"/>
    <col min="9" max="9" width="16.5703125" style="13" customWidth="1"/>
    <col min="10" max="10" width="32.140625" style="13" customWidth="1"/>
    <col min="11" max="26" width="9.140625" style="13"/>
    <col min="27" max="28" width="0" style="13" hidden="1" customWidth="1"/>
    <col min="29" max="16384" width="9.140625" style="13"/>
  </cols>
  <sheetData>
    <row r="1" spans="2:10" s="8" customFormat="1" ht="99" customHeight="1" x14ac:dyDescent="0.2">
      <c r="B1" s="9"/>
      <c r="C1" s="10"/>
      <c r="D1" s="131" t="s">
        <v>219</v>
      </c>
      <c r="E1" s="131"/>
      <c r="F1" s="131"/>
      <c r="G1" s="131"/>
      <c r="H1" s="131"/>
      <c r="I1" s="11"/>
      <c r="J1" s="12" t="s">
        <v>7</v>
      </c>
    </row>
    <row r="3" spans="2:10" s="7" customFormat="1" x14ac:dyDescent="0.25">
      <c r="C3" s="132" t="s">
        <v>8</v>
      </c>
      <c r="D3" s="132"/>
      <c r="E3" s="132"/>
      <c r="F3" s="132"/>
      <c r="G3" s="132" t="s">
        <v>243</v>
      </c>
      <c r="H3" s="132"/>
      <c r="I3" s="132"/>
      <c r="J3" s="132"/>
    </row>
    <row r="4" spans="2:10" s="7" customFormat="1" ht="6" customHeight="1" x14ac:dyDescent="0.25">
      <c r="E4" s="126" t="s">
        <v>230</v>
      </c>
      <c r="F4" s="126"/>
      <c r="G4" s="132"/>
      <c r="H4" s="132"/>
      <c r="I4" s="126" t="s">
        <v>244</v>
      </c>
      <c r="J4" s="126"/>
    </row>
    <row r="5" spans="2:10" s="7" customFormat="1" x14ac:dyDescent="0.25">
      <c r="C5" s="132" t="s">
        <v>225</v>
      </c>
      <c r="D5" s="132"/>
      <c r="E5" s="132"/>
      <c r="F5" s="132"/>
      <c r="G5" s="132" t="s">
        <v>242</v>
      </c>
      <c r="H5" s="132"/>
      <c r="I5" s="132"/>
      <c r="J5" s="132"/>
    </row>
    <row r="6" spans="2:10" s="7" customFormat="1" ht="6" customHeight="1" x14ac:dyDescent="0.25">
      <c r="E6" s="126" t="s">
        <v>231</v>
      </c>
      <c r="F6" s="126"/>
      <c r="G6" s="140"/>
      <c r="H6" s="140"/>
      <c r="I6" s="126" t="s">
        <v>241</v>
      </c>
      <c r="J6" s="126"/>
    </row>
    <row r="7" spans="2:10" s="7" customFormat="1" x14ac:dyDescent="0.25">
      <c r="C7" s="132" t="s">
        <v>222</v>
      </c>
      <c r="D7" s="132"/>
      <c r="E7" s="132"/>
      <c r="F7" s="132"/>
      <c r="G7" s="132" t="s">
        <v>246</v>
      </c>
      <c r="H7" s="132"/>
      <c r="I7" s="132"/>
      <c r="J7" s="132"/>
    </row>
    <row r="8" spans="2:10" s="7" customFormat="1" ht="6" customHeight="1" x14ac:dyDescent="0.25">
      <c r="E8" s="126" t="s">
        <v>232</v>
      </c>
      <c r="F8" s="126"/>
      <c r="I8" s="126" t="s">
        <v>245</v>
      </c>
      <c r="J8" s="126"/>
    </row>
    <row r="9" spans="2:10" ht="38.25" customHeight="1" x14ac:dyDescent="0.25">
      <c r="C9" s="127" t="s">
        <v>217</v>
      </c>
      <c r="D9" s="127"/>
      <c r="E9" s="127"/>
      <c r="F9" s="127"/>
      <c r="G9" s="127"/>
      <c r="H9" s="127"/>
      <c r="I9" s="127"/>
    </row>
    <row r="10" spans="2:10" ht="30" customHeight="1" x14ac:dyDescent="0.25">
      <c r="J10" s="106" t="s">
        <v>248</v>
      </c>
    </row>
    <row r="11" spans="2:10" ht="15" x14ac:dyDescent="0.25">
      <c r="B11" s="136"/>
      <c r="C11" s="137"/>
      <c r="D11" s="137"/>
      <c r="E11" s="138"/>
      <c r="F11" s="139" t="s">
        <v>5</v>
      </c>
      <c r="G11" s="139"/>
      <c r="H11" s="139" t="s">
        <v>6</v>
      </c>
      <c r="I11" s="139"/>
      <c r="J11" s="139"/>
    </row>
    <row r="12" spans="2:10" ht="15" x14ac:dyDescent="0.25">
      <c r="B12" s="128" t="s">
        <v>0</v>
      </c>
      <c r="C12" s="129"/>
      <c r="D12" s="14" t="s">
        <v>1</v>
      </c>
      <c r="E12" s="15" t="s">
        <v>4</v>
      </c>
      <c r="F12" s="15" t="s">
        <v>2</v>
      </c>
      <c r="G12" s="15" t="s">
        <v>249</v>
      </c>
      <c r="H12" s="15" t="s">
        <v>3</v>
      </c>
      <c r="I12" s="15" t="s">
        <v>2</v>
      </c>
      <c r="J12" s="15" t="s">
        <v>249</v>
      </c>
    </row>
    <row r="13" spans="2:10" ht="15" x14ac:dyDescent="0.25">
      <c r="B13" s="16">
        <v>1</v>
      </c>
      <c r="C13" s="17"/>
      <c r="D13" s="18" t="s">
        <v>11</v>
      </c>
      <c r="E13" s="19"/>
      <c r="F13" s="1"/>
      <c r="G13" s="121"/>
      <c r="H13" s="121"/>
      <c r="I13" s="1"/>
      <c r="J13" s="20"/>
    </row>
    <row r="14" spans="2:10" ht="15" x14ac:dyDescent="0.25">
      <c r="B14" s="2"/>
      <c r="C14" s="5">
        <f ca="1">OFFSET($C14,-1,0,1,1)+1</f>
        <v>1</v>
      </c>
      <c r="D14" s="21" t="s">
        <v>12</v>
      </c>
      <c r="E14" s="6" t="s">
        <v>161</v>
      </c>
      <c r="F14" s="22"/>
      <c r="G14" s="115"/>
      <c r="H14" s="115"/>
      <c r="I14" s="23"/>
      <c r="J14" s="110">
        <f>H14*I14</f>
        <v>0</v>
      </c>
    </row>
    <row r="15" spans="2:10" ht="15" x14ac:dyDescent="0.25">
      <c r="B15" s="2"/>
      <c r="C15" s="5">
        <f ca="1">OFFSET($C15,-1,0,1,1)+1</f>
        <v>2</v>
      </c>
      <c r="D15" s="21" t="s">
        <v>13</v>
      </c>
      <c r="E15" s="6" t="s">
        <v>14</v>
      </c>
      <c r="F15" s="23"/>
      <c r="G15" s="115"/>
      <c r="H15" s="115"/>
      <c r="I15" s="23"/>
      <c r="J15" s="110">
        <f t="shared" ref="J15:J55" si="0">H15*I15</f>
        <v>0</v>
      </c>
    </row>
    <row r="16" spans="2:10" ht="15" x14ac:dyDescent="0.25">
      <c r="B16" s="16">
        <f>COUNTA($B$13:B15)+1</f>
        <v>2</v>
      </c>
      <c r="C16" s="17"/>
      <c r="D16" s="18" t="s">
        <v>16</v>
      </c>
      <c r="E16" s="6" t="s">
        <v>14</v>
      </c>
      <c r="F16" s="23"/>
      <c r="G16" s="115"/>
      <c r="H16" s="115"/>
      <c r="I16" s="23"/>
      <c r="J16" s="110">
        <f t="shared" si="0"/>
        <v>0</v>
      </c>
    </row>
    <row r="17" spans="1:10" ht="15" x14ac:dyDescent="0.25">
      <c r="A17" s="25"/>
      <c r="B17" s="16">
        <f>COUNTA($B$13:B16)+1</f>
        <v>3</v>
      </c>
      <c r="C17" s="5"/>
      <c r="D17" s="18" t="s">
        <v>208</v>
      </c>
      <c r="E17" s="2" t="s">
        <v>20</v>
      </c>
      <c r="F17" s="23"/>
      <c r="G17" s="115"/>
      <c r="H17" s="115"/>
      <c r="I17" s="23"/>
      <c r="J17" s="110">
        <f t="shared" si="0"/>
        <v>0</v>
      </c>
    </row>
    <row r="18" spans="1:10" ht="15" x14ac:dyDescent="0.25">
      <c r="B18" s="16">
        <f>COUNTA($B$13:B17)+1</f>
        <v>4</v>
      </c>
      <c r="C18" s="17"/>
      <c r="D18" s="18" t="s">
        <v>17</v>
      </c>
      <c r="E18" s="19"/>
      <c r="F18" s="3"/>
      <c r="G18" s="122"/>
      <c r="H18" s="122"/>
      <c r="I18" s="3"/>
      <c r="J18" s="110"/>
    </row>
    <row r="19" spans="1:10" ht="15" x14ac:dyDescent="0.25">
      <c r="A19" s="25"/>
      <c r="B19" s="26"/>
      <c r="C19" s="5">
        <f ca="1">OFFSET($C19,-1,0,1,1)+1</f>
        <v>1</v>
      </c>
      <c r="D19" s="21" t="s">
        <v>18</v>
      </c>
      <c r="E19" s="6" t="s">
        <v>21</v>
      </c>
      <c r="F19" s="23"/>
      <c r="G19" s="115"/>
      <c r="H19" s="115"/>
      <c r="I19" s="23"/>
      <c r="J19" s="110">
        <f t="shared" ref="J19:J20" si="1">H19*I19</f>
        <v>0</v>
      </c>
    </row>
    <row r="20" spans="1:10" ht="15" x14ac:dyDescent="0.25">
      <c r="A20" s="25"/>
      <c r="B20" s="26"/>
      <c r="C20" s="5">
        <f ca="1">OFFSET($C20,-1,0,1,1)+1</f>
        <v>2</v>
      </c>
      <c r="D20" s="21" t="s">
        <v>19</v>
      </c>
      <c r="E20" s="6" t="s">
        <v>21</v>
      </c>
      <c r="F20" s="23"/>
      <c r="G20" s="115"/>
      <c r="H20" s="115"/>
      <c r="I20" s="23"/>
      <c r="J20" s="110">
        <f t="shared" si="1"/>
        <v>0</v>
      </c>
    </row>
    <row r="21" spans="1:10" ht="15" x14ac:dyDescent="0.25">
      <c r="B21" s="16">
        <f>COUNTA($B$13:B19)+1</f>
        <v>5</v>
      </c>
      <c r="C21" s="17"/>
      <c r="D21" s="18" t="s">
        <v>209</v>
      </c>
      <c r="E21" s="19"/>
      <c r="F21" s="3"/>
      <c r="G21" s="122"/>
      <c r="H21" s="122"/>
      <c r="I21" s="3"/>
      <c r="J21" s="110"/>
    </row>
    <row r="22" spans="1:10" ht="15" x14ac:dyDescent="0.25">
      <c r="A22" s="25"/>
      <c r="B22" s="26"/>
      <c r="C22" s="5">
        <f t="shared" ref="C22:C27" ca="1" si="2">OFFSET($C22,-1,0,1,1)+1</f>
        <v>1</v>
      </c>
      <c r="D22" s="21" t="s">
        <v>22</v>
      </c>
      <c r="E22" s="6" t="s">
        <v>20</v>
      </c>
      <c r="F22" s="23"/>
      <c r="G22" s="115"/>
      <c r="H22" s="115"/>
      <c r="I22" s="23"/>
      <c r="J22" s="110">
        <f t="shared" si="0"/>
        <v>0</v>
      </c>
    </row>
    <row r="23" spans="1:10" ht="15" x14ac:dyDescent="0.25">
      <c r="A23" s="25"/>
      <c r="B23" s="26"/>
      <c r="C23" s="5">
        <f t="shared" ca="1" si="2"/>
        <v>2</v>
      </c>
      <c r="D23" s="21" t="s">
        <v>210</v>
      </c>
      <c r="E23" s="6" t="s">
        <v>23</v>
      </c>
      <c r="F23" s="23"/>
      <c r="G23" s="115"/>
      <c r="H23" s="115"/>
      <c r="I23" s="23"/>
      <c r="J23" s="110">
        <f t="shared" si="0"/>
        <v>0</v>
      </c>
    </row>
    <row r="24" spans="1:10" ht="15" x14ac:dyDescent="0.25">
      <c r="A24" s="25"/>
      <c r="B24" s="26"/>
      <c r="C24" s="5">
        <f t="shared" ca="1" si="2"/>
        <v>3</v>
      </c>
      <c r="D24" s="21" t="s">
        <v>211</v>
      </c>
      <c r="E24" s="6" t="s">
        <v>20</v>
      </c>
      <c r="F24" s="23"/>
      <c r="G24" s="115"/>
      <c r="H24" s="115"/>
      <c r="I24" s="23"/>
      <c r="J24" s="110">
        <f t="shared" si="0"/>
        <v>0</v>
      </c>
    </row>
    <row r="25" spans="1:10" ht="15" x14ac:dyDescent="0.25">
      <c r="A25" s="25"/>
      <c r="B25" s="26"/>
      <c r="C25" s="5">
        <f t="shared" ca="1" si="2"/>
        <v>4</v>
      </c>
      <c r="D25" s="21" t="s">
        <v>212</v>
      </c>
      <c r="E25" s="6" t="s">
        <v>23</v>
      </c>
      <c r="F25" s="23"/>
      <c r="G25" s="115"/>
      <c r="H25" s="115"/>
      <c r="I25" s="23"/>
      <c r="J25" s="110">
        <f t="shared" ref="J25:J27" si="3">H25*I25</f>
        <v>0</v>
      </c>
    </row>
    <row r="26" spans="1:10" ht="15" x14ac:dyDescent="0.25">
      <c r="A26" s="25"/>
      <c r="B26" s="26"/>
      <c r="C26" s="5">
        <f t="shared" ca="1" si="2"/>
        <v>5</v>
      </c>
      <c r="D26" s="21" t="s">
        <v>213</v>
      </c>
      <c r="E26" s="6" t="s">
        <v>20</v>
      </c>
      <c r="F26" s="23"/>
      <c r="G26" s="115"/>
      <c r="H26" s="115"/>
      <c r="I26" s="23"/>
      <c r="J26" s="110">
        <f t="shared" si="3"/>
        <v>0</v>
      </c>
    </row>
    <row r="27" spans="1:10" ht="15" x14ac:dyDescent="0.25">
      <c r="A27" s="25"/>
      <c r="B27" s="26"/>
      <c r="C27" s="5">
        <f t="shared" ca="1" si="2"/>
        <v>6</v>
      </c>
      <c r="D27" s="21" t="s">
        <v>214</v>
      </c>
      <c r="E27" s="6" t="s">
        <v>23</v>
      </c>
      <c r="F27" s="23"/>
      <c r="G27" s="115"/>
      <c r="H27" s="115"/>
      <c r="I27" s="23"/>
      <c r="J27" s="110">
        <f t="shared" si="3"/>
        <v>0</v>
      </c>
    </row>
    <row r="28" spans="1:10" ht="15" x14ac:dyDescent="0.25">
      <c r="B28" s="16">
        <f ca="1">COUNTA($B$13:B28)+1</f>
        <v>6</v>
      </c>
      <c r="C28" s="17"/>
      <c r="D28" s="18" t="s">
        <v>24</v>
      </c>
      <c r="E28" s="19"/>
      <c r="F28" s="3"/>
      <c r="G28" s="122"/>
      <c r="H28" s="122"/>
      <c r="I28" s="3"/>
      <c r="J28" s="110"/>
    </row>
    <row r="29" spans="1:10" ht="15" x14ac:dyDescent="0.25">
      <c r="A29" s="25"/>
      <c r="B29" s="26"/>
      <c r="C29" s="5">
        <f ca="1">OFFSET($C30,-1,0,1,1)+1</f>
        <v>1</v>
      </c>
      <c r="D29" s="21" t="s">
        <v>25</v>
      </c>
      <c r="E29" s="6" t="s">
        <v>26</v>
      </c>
      <c r="F29" s="23"/>
      <c r="G29" s="115"/>
      <c r="H29" s="115"/>
      <c r="I29" s="23"/>
      <c r="J29" s="110">
        <f t="shared" ref="J29:J33" si="4">H29*I29</f>
        <v>0</v>
      </c>
    </row>
    <row r="30" spans="1:10" ht="15" x14ac:dyDescent="0.25">
      <c r="A30" s="25"/>
      <c r="B30" s="26"/>
      <c r="C30" s="5">
        <f ca="1">OFFSET($C31,-1,0,1,1)+1</f>
        <v>2</v>
      </c>
      <c r="D30" s="21" t="s">
        <v>215</v>
      </c>
      <c r="E30" s="6" t="s">
        <v>27</v>
      </c>
      <c r="F30" s="23"/>
      <c r="G30" s="115"/>
      <c r="H30" s="115"/>
      <c r="I30" s="23"/>
      <c r="J30" s="110">
        <f t="shared" si="4"/>
        <v>0</v>
      </c>
    </row>
    <row r="31" spans="1:10" ht="15" x14ac:dyDescent="0.25">
      <c r="A31" s="25"/>
      <c r="B31" s="26"/>
      <c r="C31" s="5">
        <f ca="1">OFFSET($C32,-1,0,1,1)+1</f>
        <v>3</v>
      </c>
      <c r="D31" s="21" t="s">
        <v>28</v>
      </c>
      <c r="E31" s="6" t="s">
        <v>27</v>
      </c>
      <c r="F31" s="23"/>
      <c r="G31" s="115"/>
      <c r="H31" s="115"/>
      <c r="I31" s="23"/>
      <c r="J31" s="110">
        <f t="shared" ref="J31" si="5">H31*I31</f>
        <v>0</v>
      </c>
    </row>
    <row r="32" spans="1:10" ht="15" x14ac:dyDescent="0.25">
      <c r="A32" s="25"/>
      <c r="B32" s="26"/>
      <c r="C32" s="5">
        <f ca="1">OFFSET($C33,-1,0,1,1)+1</f>
        <v>4</v>
      </c>
      <c r="D32" s="21" t="s">
        <v>218</v>
      </c>
      <c r="E32" s="6" t="s">
        <v>26</v>
      </c>
      <c r="F32" s="23"/>
      <c r="G32" s="115"/>
      <c r="H32" s="115"/>
      <c r="I32" s="23"/>
      <c r="J32" s="110">
        <f t="shared" ref="J32" si="6">H32*I32</f>
        <v>0</v>
      </c>
    </row>
    <row r="33" spans="1:10" ht="15" x14ac:dyDescent="0.25">
      <c r="A33" s="25"/>
      <c r="B33" s="26"/>
      <c r="C33" s="5">
        <f ca="1">OFFSET($C34,-1,0,1,1)+1</f>
        <v>5</v>
      </c>
      <c r="D33" s="21" t="s">
        <v>29</v>
      </c>
      <c r="E33" s="6" t="s">
        <v>26</v>
      </c>
      <c r="F33" s="23"/>
      <c r="G33" s="115"/>
      <c r="H33" s="115"/>
      <c r="I33" s="23"/>
      <c r="J33" s="110">
        <f t="shared" si="4"/>
        <v>0</v>
      </c>
    </row>
    <row r="34" spans="1:10" ht="15" x14ac:dyDescent="0.25">
      <c r="B34" s="16">
        <f ca="1">COUNTA($B$13:B34)+1</f>
        <v>7</v>
      </c>
      <c r="C34" s="17"/>
      <c r="D34" s="18" t="s">
        <v>30</v>
      </c>
      <c r="E34" s="19"/>
      <c r="F34" s="3"/>
      <c r="G34" s="122"/>
      <c r="H34" s="122"/>
      <c r="I34" s="3"/>
      <c r="J34" s="110"/>
    </row>
    <row r="35" spans="1:10" ht="15" x14ac:dyDescent="0.25">
      <c r="A35" s="25"/>
      <c r="B35" s="26"/>
      <c r="C35" s="5">
        <f ca="1">OFFSET($C36,-1,0,1,1)+1</f>
        <v>1</v>
      </c>
      <c r="D35" s="21" t="s">
        <v>31</v>
      </c>
      <c r="E35" s="6" t="s">
        <v>27</v>
      </c>
      <c r="F35" s="23"/>
      <c r="G35" s="115"/>
      <c r="H35" s="115"/>
      <c r="I35" s="23"/>
      <c r="J35" s="110">
        <f t="shared" si="0"/>
        <v>0</v>
      </c>
    </row>
    <row r="36" spans="1:10" ht="15" x14ac:dyDescent="0.25">
      <c r="A36" s="25"/>
      <c r="B36" s="26"/>
      <c r="C36" s="5">
        <f ca="1">OFFSET($C37,-1,0,1,1)+1</f>
        <v>2</v>
      </c>
      <c r="D36" s="21" t="s">
        <v>93</v>
      </c>
      <c r="E36" s="6" t="s">
        <v>27</v>
      </c>
      <c r="F36" s="23"/>
      <c r="G36" s="115"/>
      <c r="H36" s="115"/>
      <c r="I36" s="23"/>
      <c r="J36" s="110">
        <f t="shared" si="0"/>
        <v>0</v>
      </c>
    </row>
    <row r="37" spans="1:10" ht="15" x14ac:dyDescent="0.25">
      <c r="B37" s="16">
        <f ca="1">COUNTA($B$13:B37)+1</f>
        <v>8</v>
      </c>
      <c r="C37" s="17"/>
      <c r="D37" s="18" t="s">
        <v>32</v>
      </c>
      <c r="E37" s="19"/>
      <c r="F37" s="3"/>
      <c r="G37" s="122"/>
      <c r="H37" s="122"/>
      <c r="I37" s="3"/>
      <c r="J37" s="110"/>
    </row>
    <row r="38" spans="1:10" ht="15" x14ac:dyDescent="0.25">
      <c r="A38" s="25"/>
      <c r="B38" s="26"/>
      <c r="C38" s="5">
        <f ca="1">OFFSET($C39,-1,0,1,1)+1</f>
        <v>1</v>
      </c>
      <c r="D38" s="21" t="s">
        <v>33</v>
      </c>
      <c r="E38" s="6" t="s">
        <v>35</v>
      </c>
      <c r="F38" s="23"/>
      <c r="G38" s="115"/>
      <c r="H38" s="115"/>
      <c r="I38" s="23"/>
      <c r="J38" s="110">
        <f t="shared" si="0"/>
        <v>0</v>
      </c>
    </row>
    <row r="39" spans="1:10" ht="15" x14ac:dyDescent="0.25">
      <c r="A39" s="25"/>
      <c r="B39" s="26"/>
      <c r="C39" s="5">
        <f ca="1">OFFSET($C40,-1,0,1,1)+1</f>
        <v>2</v>
      </c>
      <c r="D39" s="21" t="s">
        <v>34</v>
      </c>
      <c r="E39" s="6" t="s">
        <v>35</v>
      </c>
      <c r="F39" s="23"/>
      <c r="G39" s="115"/>
      <c r="H39" s="115"/>
      <c r="I39" s="23"/>
      <c r="J39" s="110">
        <f t="shared" si="0"/>
        <v>0</v>
      </c>
    </row>
    <row r="40" spans="1:10" ht="15" x14ac:dyDescent="0.25">
      <c r="A40" s="25"/>
      <c r="B40" s="26"/>
      <c r="C40" s="5">
        <f ca="1">OFFSET($C41,-1,0,1,1)+1</f>
        <v>3</v>
      </c>
      <c r="D40" s="21" t="s">
        <v>216</v>
      </c>
      <c r="E40" s="6" t="s">
        <v>35</v>
      </c>
      <c r="F40" s="23"/>
      <c r="G40" s="115"/>
      <c r="H40" s="115"/>
      <c r="I40" s="23"/>
      <c r="J40" s="110">
        <f t="shared" ref="J40" si="7">H40*I40</f>
        <v>0</v>
      </c>
    </row>
    <row r="41" spans="1:10" ht="15" x14ac:dyDescent="0.25">
      <c r="B41" s="16">
        <f ca="1">COUNTA($B$13:B40)+1</f>
        <v>9</v>
      </c>
      <c r="C41" s="17"/>
      <c r="D41" s="18" t="s">
        <v>36</v>
      </c>
      <c r="E41" s="19"/>
      <c r="F41" s="3"/>
      <c r="G41" s="122"/>
      <c r="H41" s="122"/>
      <c r="I41" s="3"/>
      <c r="J41" s="110"/>
    </row>
    <row r="42" spans="1:10" ht="15" x14ac:dyDescent="0.25">
      <c r="A42" s="25"/>
      <c r="B42" s="26"/>
      <c r="C42" s="5">
        <f ca="1">OFFSET($C43,-1,0,1,1)+1</f>
        <v>1</v>
      </c>
      <c r="D42" s="21" t="s">
        <v>37</v>
      </c>
      <c r="E42" s="6" t="s">
        <v>21</v>
      </c>
      <c r="F42" s="23"/>
      <c r="G42" s="115"/>
      <c r="H42" s="115"/>
      <c r="I42" s="23"/>
      <c r="J42" s="110">
        <f t="shared" si="0"/>
        <v>0</v>
      </c>
    </row>
    <row r="43" spans="1:10" ht="15" x14ac:dyDescent="0.25">
      <c r="A43" s="25"/>
      <c r="B43" s="26"/>
      <c r="C43" s="5">
        <f ca="1">OFFSET($C44,-1,0,1,1)+1</f>
        <v>2</v>
      </c>
      <c r="D43" s="21" t="s">
        <v>38</v>
      </c>
      <c r="E43" s="6" t="s">
        <v>21</v>
      </c>
      <c r="F43" s="23"/>
      <c r="G43" s="115"/>
      <c r="H43" s="115"/>
      <c r="I43" s="23"/>
      <c r="J43" s="110">
        <f t="shared" si="0"/>
        <v>0</v>
      </c>
    </row>
    <row r="44" spans="1:10" ht="15" x14ac:dyDescent="0.25">
      <c r="B44" s="16">
        <f ca="1">COUNTA($B$13:B44)+1</f>
        <v>10</v>
      </c>
      <c r="C44" s="17"/>
      <c r="D44" s="18" t="s">
        <v>39</v>
      </c>
      <c r="E44" s="19"/>
      <c r="F44" s="3"/>
      <c r="G44" s="122"/>
      <c r="H44" s="122"/>
      <c r="I44" s="3"/>
      <c r="J44" s="110"/>
    </row>
    <row r="45" spans="1:10" ht="15" x14ac:dyDescent="0.25">
      <c r="A45" s="25"/>
      <c r="B45" s="26"/>
      <c r="C45" s="5">
        <f ca="1">OFFSET($C46,-1,0,1,1)+1</f>
        <v>1</v>
      </c>
      <c r="D45" s="21" t="s">
        <v>40</v>
      </c>
      <c r="E45" s="6" t="s">
        <v>20</v>
      </c>
      <c r="F45" s="23"/>
      <c r="G45" s="115"/>
      <c r="H45" s="115"/>
      <c r="I45" s="23"/>
      <c r="J45" s="110">
        <f t="shared" si="0"/>
        <v>0</v>
      </c>
    </row>
    <row r="46" spans="1:10" ht="15" x14ac:dyDescent="0.25">
      <c r="A46" s="25"/>
      <c r="B46" s="26"/>
      <c r="C46" s="5">
        <f ca="1">OFFSET($C47,-1,0,1,1)+1</f>
        <v>2</v>
      </c>
      <c r="D46" s="21" t="s">
        <v>41</v>
      </c>
      <c r="E46" s="6" t="s">
        <v>42</v>
      </c>
      <c r="F46" s="23"/>
      <c r="G46" s="115"/>
      <c r="H46" s="115"/>
      <c r="I46" s="23"/>
      <c r="J46" s="110">
        <f t="shared" si="0"/>
        <v>0</v>
      </c>
    </row>
    <row r="47" spans="1:10" ht="15" x14ac:dyDescent="0.25">
      <c r="B47" s="16">
        <f ca="1">COUNTA($B$13:B47)+1</f>
        <v>11</v>
      </c>
      <c r="C47" s="17"/>
      <c r="D47" s="18" t="s">
        <v>43</v>
      </c>
      <c r="E47" s="19"/>
      <c r="F47" s="3"/>
      <c r="G47" s="122"/>
      <c r="H47" s="122"/>
      <c r="I47" s="3"/>
      <c r="J47" s="110"/>
    </row>
    <row r="48" spans="1:10" ht="15" x14ac:dyDescent="0.25">
      <c r="A48" s="25"/>
      <c r="B48" s="26"/>
      <c r="C48" s="5">
        <f ca="1">OFFSET($C49,-1,0,1,1)+1</f>
        <v>1</v>
      </c>
      <c r="D48" s="21" t="s">
        <v>44</v>
      </c>
      <c r="E48" s="6" t="s">
        <v>14</v>
      </c>
      <c r="F48" s="23"/>
      <c r="G48" s="115"/>
      <c r="H48" s="115"/>
      <c r="I48" s="23"/>
      <c r="J48" s="110">
        <f t="shared" si="0"/>
        <v>0</v>
      </c>
    </row>
    <row r="49" spans="2:10" ht="15" x14ac:dyDescent="0.25">
      <c r="B49" s="16">
        <f ca="1">COUNTA($B$13:B49)+1</f>
        <v>12</v>
      </c>
      <c r="C49" s="17"/>
      <c r="D49" s="18" t="s">
        <v>45</v>
      </c>
      <c r="E49" s="6" t="s">
        <v>52</v>
      </c>
      <c r="F49" s="23"/>
      <c r="G49" s="115"/>
      <c r="H49" s="115"/>
      <c r="I49" s="23"/>
      <c r="J49" s="110">
        <f t="shared" si="0"/>
        <v>0</v>
      </c>
    </row>
    <row r="50" spans="2:10" ht="15" x14ac:dyDescent="0.25">
      <c r="B50" s="16">
        <f ca="1">COUNTA($B$13:B50)+1</f>
        <v>13</v>
      </c>
      <c r="C50" s="17"/>
      <c r="D50" s="18" t="s">
        <v>46</v>
      </c>
      <c r="E50" s="103" t="s">
        <v>52</v>
      </c>
      <c r="F50" s="23"/>
      <c r="G50" s="115"/>
      <c r="H50" s="115"/>
      <c r="I50" s="23"/>
      <c r="J50" s="110">
        <f t="shared" si="0"/>
        <v>0</v>
      </c>
    </row>
    <row r="51" spans="2:10" ht="30" x14ac:dyDescent="0.25">
      <c r="B51" s="16">
        <f ca="1">COUNTA($B$13:B51)+1</f>
        <v>14</v>
      </c>
      <c r="C51" s="17"/>
      <c r="D51" s="18" t="s">
        <v>47</v>
      </c>
      <c r="E51" s="103" t="s">
        <v>52</v>
      </c>
      <c r="F51" s="23"/>
      <c r="G51" s="115"/>
      <c r="H51" s="115"/>
      <c r="I51" s="23"/>
      <c r="J51" s="110">
        <f t="shared" si="0"/>
        <v>0</v>
      </c>
    </row>
    <row r="52" spans="2:10" ht="15" x14ac:dyDescent="0.25">
      <c r="B52" s="16">
        <f ca="1">COUNTA($B$13:B52)+1</f>
        <v>15</v>
      </c>
      <c r="C52" s="17"/>
      <c r="D52" s="18" t="s">
        <v>48</v>
      </c>
      <c r="E52" s="103" t="s">
        <v>52</v>
      </c>
      <c r="F52" s="23"/>
      <c r="G52" s="115"/>
      <c r="H52" s="115"/>
      <c r="I52" s="23"/>
      <c r="J52" s="110">
        <f t="shared" si="0"/>
        <v>0</v>
      </c>
    </row>
    <row r="53" spans="2:10" ht="15" x14ac:dyDescent="0.25">
      <c r="B53" s="16">
        <f ca="1">COUNTA($B$13:B53)+1</f>
        <v>16</v>
      </c>
      <c r="C53" s="17"/>
      <c r="D53" s="18" t="s">
        <v>49</v>
      </c>
      <c r="E53" s="6" t="s">
        <v>53</v>
      </c>
      <c r="F53" s="23"/>
      <c r="G53" s="115"/>
      <c r="H53" s="115"/>
      <c r="I53" s="23"/>
      <c r="J53" s="110">
        <f t="shared" si="0"/>
        <v>0</v>
      </c>
    </row>
    <row r="54" spans="2:10" ht="15" x14ac:dyDescent="0.25">
      <c r="B54" s="16">
        <f ca="1">COUNTA($B$13:B54)+1</f>
        <v>17</v>
      </c>
      <c r="C54" s="17"/>
      <c r="D54" s="18" t="s">
        <v>50</v>
      </c>
      <c r="E54" s="6" t="s">
        <v>52</v>
      </c>
      <c r="F54" s="23"/>
      <c r="G54" s="115"/>
      <c r="H54" s="115"/>
      <c r="I54" s="23"/>
      <c r="J54" s="110">
        <f t="shared" si="0"/>
        <v>0</v>
      </c>
    </row>
    <row r="55" spans="2:10" ht="15" x14ac:dyDescent="0.25">
      <c r="B55" s="16">
        <f ca="1">COUNTA($B$13:B55)+1</f>
        <v>18</v>
      </c>
      <c r="C55" s="17"/>
      <c r="D55" s="18" t="s">
        <v>51</v>
      </c>
      <c r="E55" s="27"/>
      <c r="F55" s="23"/>
      <c r="G55" s="115"/>
      <c r="H55" s="115"/>
      <c r="I55" s="23"/>
      <c r="J55" s="110">
        <f t="shared" si="0"/>
        <v>0</v>
      </c>
    </row>
    <row r="56" spans="2:10" ht="15" x14ac:dyDescent="0.25">
      <c r="B56" s="128" t="s">
        <v>15</v>
      </c>
      <c r="C56" s="135"/>
      <c r="D56" s="135"/>
      <c r="E56" s="129"/>
      <c r="F56" s="6"/>
      <c r="G56" s="110">
        <f ca="1">SUM(INDIRECT("G14:G"&amp;ROW()-1))</f>
        <v>0</v>
      </c>
      <c r="H56" s="116"/>
      <c r="I56" s="6"/>
      <c r="J56" s="110">
        <f ca="1">SUM(INDIRECT("J14:J"&amp;ROW()-1))</f>
        <v>0</v>
      </c>
    </row>
    <row r="57" spans="2:10" ht="30" customHeight="1" x14ac:dyDescent="0.25">
      <c r="B57" s="2"/>
      <c r="C57" s="5"/>
      <c r="D57" s="133" t="s">
        <v>54</v>
      </c>
      <c r="E57" s="134"/>
      <c r="F57" s="6"/>
      <c r="G57" s="108"/>
      <c r="H57" s="109"/>
      <c r="I57" s="6"/>
      <c r="J57" s="108"/>
    </row>
    <row r="58" spans="2:10" x14ac:dyDescent="0.25">
      <c r="D58" s="7"/>
    </row>
    <row r="59" spans="2:10" x14ac:dyDescent="0.25">
      <c r="D59" s="7" t="s">
        <v>55</v>
      </c>
      <c r="E59" s="130"/>
      <c r="F59" s="130"/>
    </row>
    <row r="60" spans="2:10" x14ac:dyDescent="0.25">
      <c r="D60" s="7"/>
      <c r="E60" s="126" t="s">
        <v>233</v>
      </c>
      <c r="F60" s="126"/>
    </row>
    <row r="61" spans="2:10" x14ac:dyDescent="0.25">
      <c r="D61" s="7" t="s">
        <v>56</v>
      </c>
      <c r="E61" s="7" t="s">
        <v>57</v>
      </c>
      <c r="F61" s="130"/>
      <c r="G61" s="130"/>
    </row>
    <row r="62" spans="2:10" ht="9.75" customHeight="1" x14ac:dyDescent="0.25">
      <c r="D62" s="7"/>
      <c r="E62" s="7"/>
      <c r="F62" s="126" t="s">
        <v>227</v>
      </c>
      <c r="G62" s="126"/>
    </row>
    <row r="63" spans="2:10" x14ac:dyDescent="0.25">
      <c r="D63" s="7"/>
      <c r="E63" s="7" t="s">
        <v>58</v>
      </c>
      <c r="F63" s="130"/>
      <c r="G63" s="130"/>
    </row>
    <row r="64" spans="2:10" ht="9.75" customHeight="1" x14ac:dyDescent="0.25">
      <c r="D64" s="7"/>
      <c r="E64" s="7"/>
      <c r="F64" s="126" t="s">
        <v>228</v>
      </c>
      <c r="G64" s="126"/>
    </row>
    <row r="65" spans="4:7" x14ac:dyDescent="0.25">
      <c r="D65" s="7"/>
      <c r="E65" s="7" t="s">
        <v>59</v>
      </c>
      <c r="F65" s="130"/>
      <c r="G65" s="130"/>
    </row>
    <row r="66" spans="4:7" ht="9.75" customHeight="1" x14ac:dyDescent="0.25">
      <c r="D66" s="7"/>
      <c r="F66" s="126" t="s">
        <v>229</v>
      </c>
      <c r="G66" s="126"/>
    </row>
    <row r="67" spans="4:7" x14ac:dyDescent="0.25">
      <c r="D67" s="7"/>
    </row>
    <row r="68" spans="4:7" x14ac:dyDescent="0.25">
      <c r="D68" s="7" t="s">
        <v>240</v>
      </c>
    </row>
    <row r="69" spans="4:7" x14ac:dyDescent="0.25">
      <c r="D69" s="7"/>
    </row>
    <row r="70" spans="4:7" x14ac:dyDescent="0.25">
      <c r="D70" s="7"/>
    </row>
    <row r="71" spans="4:7" x14ac:dyDescent="0.25">
      <c r="D71" s="7"/>
    </row>
    <row r="72" spans="4:7" x14ac:dyDescent="0.25">
      <c r="D72" s="7"/>
    </row>
    <row r="73" spans="4:7" x14ac:dyDescent="0.25">
      <c r="D73" s="7"/>
    </row>
    <row r="74" spans="4:7" x14ac:dyDescent="0.25">
      <c r="D74" s="7"/>
    </row>
    <row r="75" spans="4:7" x14ac:dyDescent="0.25">
      <c r="D75" s="7"/>
    </row>
    <row r="76" spans="4:7" x14ac:dyDescent="0.25">
      <c r="D76" s="7"/>
    </row>
    <row r="77" spans="4:7" x14ac:dyDescent="0.25">
      <c r="D77" s="7"/>
    </row>
    <row r="78" spans="4:7" x14ac:dyDescent="0.25">
      <c r="D78" s="7"/>
    </row>
    <row r="79" spans="4:7" x14ac:dyDescent="0.25">
      <c r="D79" s="7"/>
    </row>
    <row r="80" spans="4:7" x14ac:dyDescent="0.25">
      <c r="D80" s="7"/>
    </row>
    <row r="81" spans="4:4" x14ac:dyDescent="0.25">
      <c r="D81" s="7"/>
    </row>
    <row r="82" spans="4:4" x14ac:dyDescent="0.25">
      <c r="D82" s="7"/>
    </row>
    <row r="83" spans="4:4" x14ac:dyDescent="0.25">
      <c r="D83" s="7"/>
    </row>
    <row r="84" spans="4:4" x14ac:dyDescent="0.25">
      <c r="D84" s="7"/>
    </row>
    <row r="85" spans="4:4" x14ac:dyDescent="0.25">
      <c r="D85" s="7"/>
    </row>
    <row r="86" spans="4:4" x14ac:dyDescent="0.25">
      <c r="D86" s="7"/>
    </row>
    <row r="87" spans="4:4" x14ac:dyDescent="0.25">
      <c r="D87" s="7"/>
    </row>
    <row r="88" spans="4:4" x14ac:dyDescent="0.25">
      <c r="D88" s="7"/>
    </row>
    <row r="89" spans="4:4" x14ac:dyDescent="0.25">
      <c r="D89" s="7"/>
    </row>
    <row r="90" spans="4:4" x14ac:dyDescent="0.25">
      <c r="D90" s="7"/>
    </row>
    <row r="91" spans="4:4" x14ac:dyDescent="0.25">
      <c r="D91" s="7"/>
    </row>
    <row r="92" spans="4:4" x14ac:dyDescent="0.25">
      <c r="D92" s="7"/>
    </row>
    <row r="93" spans="4:4" x14ac:dyDescent="0.25">
      <c r="D93" s="7"/>
    </row>
    <row r="94" spans="4:4" x14ac:dyDescent="0.25">
      <c r="D94" s="7"/>
    </row>
    <row r="95" spans="4:4" x14ac:dyDescent="0.25">
      <c r="D95" s="7"/>
    </row>
    <row r="96" spans="4:4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</sheetData>
  <sheetProtection algorithmName="SHA-512" hashValue="g1bnU9ihVCGCGWczxaS1Nvc9fTYyF82VrCXK7R5QfkJoWQVrYjhfqL9q9J/k15HOnPx5pOtSoTh8+SLX8ESDMw==" saltValue="FFmC7OR9bVjJLtiDqEcVxw==" spinCount="100000" sheet="1" objects="1" scenarios="1" selectLockedCells="1"/>
  <mergeCells count="36">
    <mergeCell ref="G7:H7"/>
    <mergeCell ref="I7:J7"/>
    <mergeCell ref="I8:J8"/>
    <mergeCell ref="G3:H3"/>
    <mergeCell ref="I3:J3"/>
    <mergeCell ref="I4:J4"/>
    <mergeCell ref="G4:H4"/>
    <mergeCell ref="G6:H6"/>
    <mergeCell ref="G5:H5"/>
    <mergeCell ref="I6:J6"/>
    <mergeCell ref="D1:H1"/>
    <mergeCell ref="E3:F3"/>
    <mergeCell ref="E5:F5"/>
    <mergeCell ref="E7:F7"/>
    <mergeCell ref="D57:E57"/>
    <mergeCell ref="B56:E56"/>
    <mergeCell ref="C3:D3"/>
    <mergeCell ref="C5:D5"/>
    <mergeCell ref="C7:D7"/>
    <mergeCell ref="B11:E11"/>
    <mergeCell ref="F11:G11"/>
    <mergeCell ref="H11:J11"/>
    <mergeCell ref="E4:F4"/>
    <mergeCell ref="E6:F6"/>
    <mergeCell ref="E8:F8"/>
    <mergeCell ref="I5:J5"/>
    <mergeCell ref="F66:G66"/>
    <mergeCell ref="C9:I9"/>
    <mergeCell ref="B12:C12"/>
    <mergeCell ref="F65:G65"/>
    <mergeCell ref="E59:F59"/>
    <mergeCell ref="F61:G61"/>
    <mergeCell ref="F63:G63"/>
    <mergeCell ref="E60:F60"/>
    <mergeCell ref="F62:G62"/>
    <mergeCell ref="F64:G64"/>
  </mergeCells>
  <conditionalFormatting sqref="F16:I16">
    <cfRule type="expression" priority="1"/>
  </conditionalFormatting>
  <dataValidations count="3">
    <dataValidation type="decimal" allowBlank="1" showInputMessage="1" showErrorMessage="1" errorTitle="Алдаа" error="Зөвхөн тоо оруулна уу..." sqref="F57 F48:I48 F42:I42 F45:I45 F38:I38 F29:I29 F35:I35 G59 H57:I57 F22:I22 F18:I18">
      <formula1>0</formula1>
      <formula2>9.99999999999999E+36</formula2>
    </dataValidation>
    <dataValidation type="decimal" allowBlank="1" showInputMessage="1" showErrorMessage="1" errorTitle="Алдаа" error="Зөвхөн тоо оруулна уу..." sqref="F30:I34 F36:I37 F39:I41 F43:I44 F46:I47 G58 F49:I56 F19:I21 F23:I28 F14:I17">
      <formula1>-9.99999999999999E+29</formula1>
      <formula2>9.99999999999999E+36</formula2>
    </dataValidation>
    <dataValidation type="decimal" allowBlank="1" showInputMessage="1" showErrorMessage="1" errorTitle="Анхаар" error="Зөвхөн тоо оруулна уу" sqref="J58">
      <formula1>-9.99999999999999E+33</formula1>
      <formula2>9.99999999999999E+33</formula2>
    </dataValidation>
  </dataValidations>
  <pageMargins left="0.25" right="0.25" top="0.75" bottom="0.75" header="0.3" footer="0.3"/>
  <pageSetup paperSize="9" scale="8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12</xdr:row>
                    <xdr:rowOff>28575</xdr:rowOff>
                  </from>
                  <to>
                    <xdr:col>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17</xdr:row>
                    <xdr:rowOff>28575</xdr:rowOff>
                  </from>
                  <to>
                    <xdr:col>0</xdr:col>
                    <xdr:colOff>323850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" name="Button 93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20</xdr:row>
                    <xdr:rowOff>28575</xdr:rowOff>
                  </from>
                  <to>
                    <xdr:col>0</xdr:col>
                    <xdr:colOff>323850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" name="Button 94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33</xdr:row>
                    <xdr:rowOff>28575</xdr:rowOff>
                  </from>
                  <to>
                    <xdr:col>0</xdr:col>
                    <xdr:colOff>323850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" name="Button 95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36</xdr:row>
                    <xdr:rowOff>28575</xdr:rowOff>
                  </from>
                  <to>
                    <xdr:col>0</xdr:col>
                    <xdr:colOff>323850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" name="Button 96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40</xdr:row>
                    <xdr:rowOff>28575</xdr:rowOff>
                  </from>
                  <to>
                    <xdr:col>0</xdr:col>
                    <xdr:colOff>323850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" name="Button 97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43</xdr:row>
                    <xdr:rowOff>28575</xdr:rowOff>
                  </from>
                  <to>
                    <xdr:col>0</xdr:col>
                    <xdr:colOff>323850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1" name="Button 98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46</xdr:row>
                    <xdr:rowOff>28575</xdr:rowOff>
                  </from>
                  <to>
                    <xdr:col>0</xdr:col>
                    <xdr:colOff>323850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2" name="Button 101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54</xdr:row>
                    <xdr:rowOff>28575</xdr:rowOff>
                  </from>
                  <to>
                    <xdr:col>0</xdr:col>
                    <xdr:colOff>323850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3" name="Button 104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27</xdr:row>
                    <xdr:rowOff>28575</xdr:rowOff>
                  </from>
                  <to>
                    <xdr:col>0</xdr:col>
                    <xdr:colOff>323850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S340"/>
  <sheetViews>
    <sheetView showGridLines="0" topLeftCell="A10" workbookViewId="0">
      <selection activeCell="I19" sqref="I19"/>
    </sheetView>
  </sheetViews>
  <sheetFormatPr defaultRowHeight="14.25" x14ac:dyDescent="0.2"/>
  <cols>
    <col min="1" max="1" width="4.5703125" style="30" customWidth="1"/>
    <col min="2" max="2" width="5.42578125" style="31" customWidth="1"/>
    <col min="3" max="3" width="24.7109375" style="30" customWidth="1"/>
    <col min="4" max="7" width="9.140625" style="30"/>
    <col min="8" max="8" width="14.28515625" style="30" bestFit="1" customWidth="1"/>
    <col min="9" max="13" width="9.140625" style="30"/>
    <col min="14" max="14" width="11.28515625" style="30" bestFit="1" customWidth="1"/>
    <col min="15" max="16" width="9.140625" style="30"/>
    <col min="17" max="17" width="9.140625" style="30" customWidth="1"/>
    <col min="18" max="18" width="9.140625" style="30"/>
    <col min="19" max="19" width="26.28515625" style="30" customWidth="1"/>
    <col min="20" max="26" width="9.140625" style="30"/>
    <col min="27" max="28" width="0" style="30" hidden="1" customWidth="1"/>
    <col min="29" max="16384" width="9.140625" style="30"/>
  </cols>
  <sheetData>
    <row r="1" spans="1:19" s="8" customFormat="1" ht="99" customHeight="1" x14ac:dyDescent="0.2">
      <c r="B1" s="28"/>
      <c r="C1" s="145" t="s">
        <v>219</v>
      </c>
      <c r="D1" s="145"/>
      <c r="E1" s="145"/>
      <c r="F1" s="145"/>
      <c r="G1" s="145"/>
      <c r="H1" s="145"/>
      <c r="I1" s="145"/>
      <c r="J1" s="145"/>
      <c r="K1" s="145"/>
      <c r="L1" s="145"/>
      <c r="R1" s="12" t="s">
        <v>60</v>
      </c>
    </row>
    <row r="2" spans="1:19" s="7" customFormat="1" ht="20.100000000000001" customHeight="1" x14ac:dyDescent="0.25">
      <c r="B2" s="29"/>
      <c r="C2" s="132" t="s">
        <v>8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39"/>
    </row>
    <row r="3" spans="1:19" s="92" customFormat="1" ht="7.5" customHeight="1" x14ac:dyDescent="0.25">
      <c r="B3" s="29"/>
      <c r="E3" s="126" t="s">
        <v>230</v>
      </c>
      <c r="F3" s="126"/>
      <c r="G3" s="126"/>
      <c r="H3" s="126"/>
      <c r="I3" s="132"/>
      <c r="J3" s="132"/>
      <c r="K3" s="132"/>
      <c r="L3" s="126"/>
      <c r="M3" s="126"/>
      <c r="N3" s="126"/>
      <c r="O3" s="101"/>
    </row>
    <row r="4" spans="1:19" s="7" customFormat="1" ht="20.100000000000001" customHeight="1" x14ac:dyDescent="0.25">
      <c r="B4" s="29"/>
      <c r="C4" s="132" t="s">
        <v>222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</row>
    <row r="5" spans="1:19" s="92" customFormat="1" ht="7.5" customHeight="1" x14ac:dyDescent="0.25">
      <c r="B5" s="29"/>
      <c r="E5" s="126" t="s">
        <v>232</v>
      </c>
      <c r="F5" s="126"/>
      <c r="G5" s="126"/>
      <c r="H5" s="126"/>
      <c r="I5" s="132"/>
      <c r="J5" s="132"/>
      <c r="K5" s="132"/>
      <c r="L5" s="126"/>
      <c r="M5" s="126"/>
      <c r="N5" s="126"/>
    </row>
    <row r="6" spans="1:19" s="7" customFormat="1" ht="20.100000000000001" customHeight="1" x14ac:dyDescent="0.25">
      <c r="B6" s="29"/>
      <c r="C6" s="132" t="s">
        <v>221</v>
      </c>
      <c r="D6" s="132"/>
      <c r="E6" s="146"/>
      <c r="F6" s="146"/>
      <c r="G6" s="146"/>
      <c r="H6" s="146"/>
      <c r="I6" s="132"/>
      <c r="J6" s="132"/>
      <c r="K6" s="132"/>
      <c r="L6" s="132"/>
      <c r="M6" s="132"/>
      <c r="N6" s="132"/>
    </row>
    <row r="7" spans="1:19" s="92" customFormat="1" ht="7.5" customHeight="1" x14ac:dyDescent="0.25">
      <c r="B7" s="29"/>
      <c r="E7" s="147" t="s">
        <v>237</v>
      </c>
      <c r="F7" s="147"/>
      <c r="G7" s="147"/>
      <c r="H7" s="147"/>
      <c r="I7" s="98"/>
      <c r="J7" s="98"/>
      <c r="K7" s="98"/>
      <c r="L7" s="126"/>
      <c r="M7" s="126"/>
      <c r="N7" s="126"/>
    </row>
    <row r="8" spans="1:19" ht="51" customHeight="1" x14ac:dyDescent="0.2">
      <c r="C8" s="143" t="s">
        <v>220</v>
      </c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05" t="s">
        <v>248</v>
      </c>
    </row>
    <row r="9" spans="1:19" ht="45" customHeight="1" x14ac:dyDescent="0.2">
      <c r="A9" s="152" t="s">
        <v>61</v>
      </c>
      <c r="B9" s="152"/>
      <c r="C9" s="150" t="s">
        <v>62</v>
      </c>
      <c r="D9" s="149" t="s">
        <v>63</v>
      </c>
      <c r="E9" s="149" t="s">
        <v>64</v>
      </c>
      <c r="F9" s="149" t="s">
        <v>65</v>
      </c>
      <c r="G9" s="149" t="s">
        <v>66</v>
      </c>
      <c r="H9" s="149" t="s">
        <v>67</v>
      </c>
      <c r="I9" s="149" t="s">
        <v>68</v>
      </c>
      <c r="J9" s="149" t="s">
        <v>69</v>
      </c>
      <c r="K9" s="149" t="s">
        <v>70</v>
      </c>
      <c r="L9" s="149" t="s">
        <v>77</v>
      </c>
      <c r="M9" s="149" t="s">
        <v>78</v>
      </c>
      <c r="N9" s="139" t="s">
        <v>71</v>
      </c>
      <c r="O9" s="139"/>
      <c r="P9" s="149" t="s">
        <v>74</v>
      </c>
      <c r="Q9" s="149" t="s">
        <v>75</v>
      </c>
      <c r="R9" s="149" t="s">
        <v>76</v>
      </c>
      <c r="S9" s="150" t="s">
        <v>250</v>
      </c>
    </row>
    <row r="10" spans="1:19" ht="45" customHeight="1" x14ac:dyDescent="0.2">
      <c r="A10" s="152"/>
      <c r="B10" s="152"/>
      <c r="C10" s="150"/>
      <c r="D10" s="149"/>
      <c r="E10" s="149"/>
      <c r="F10" s="149"/>
      <c r="G10" s="149"/>
      <c r="H10" s="149"/>
      <c r="I10" s="149"/>
      <c r="J10" s="149"/>
      <c r="K10" s="149"/>
      <c r="L10" s="149"/>
      <c r="M10" s="149"/>
      <c r="N10" s="24" t="s">
        <v>72</v>
      </c>
      <c r="O10" s="24" t="s">
        <v>73</v>
      </c>
      <c r="P10" s="149"/>
      <c r="Q10" s="149"/>
      <c r="R10" s="149"/>
      <c r="S10" s="150"/>
    </row>
    <row r="11" spans="1:19" ht="15" x14ac:dyDescent="0.25">
      <c r="A11" s="16">
        <v>1</v>
      </c>
      <c r="B11" s="32"/>
      <c r="C11" s="33" t="s">
        <v>79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8">
        <f>SUM(D11:R11)</f>
        <v>0</v>
      </c>
    </row>
    <row r="12" spans="1:19" ht="15" x14ac:dyDescent="0.25">
      <c r="A12" s="16"/>
      <c r="B12" s="34">
        <v>1.1000000000000001</v>
      </c>
      <c r="C12" s="21" t="s">
        <v>80</v>
      </c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8">
        <f t="shared" ref="S12:S36" si="0">SUM(D12:R12)</f>
        <v>0</v>
      </c>
    </row>
    <row r="13" spans="1:19" ht="28.5" x14ac:dyDescent="0.25">
      <c r="A13" s="16"/>
      <c r="B13" s="34">
        <v>1.2</v>
      </c>
      <c r="C13" s="21" t="s">
        <v>81</v>
      </c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8">
        <f t="shared" si="0"/>
        <v>0</v>
      </c>
    </row>
    <row r="14" spans="1:19" ht="15" x14ac:dyDescent="0.25">
      <c r="A14" s="16">
        <v>2</v>
      </c>
      <c r="B14" s="32"/>
      <c r="C14" s="33" t="s">
        <v>82</v>
      </c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8">
        <f t="shared" si="0"/>
        <v>0</v>
      </c>
    </row>
    <row r="15" spans="1:19" ht="15" x14ac:dyDescent="0.25">
      <c r="A15" s="16">
        <v>3</v>
      </c>
      <c r="B15" s="32"/>
      <c r="C15" s="33" t="s">
        <v>83</v>
      </c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8">
        <f t="shared" si="0"/>
        <v>0</v>
      </c>
    </row>
    <row r="16" spans="1:19" ht="15" x14ac:dyDescent="0.25">
      <c r="A16" s="16">
        <v>4</v>
      </c>
      <c r="B16" s="32"/>
      <c r="C16" s="33" t="s">
        <v>84</v>
      </c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8">
        <f t="shared" si="0"/>
        <v>0</v>
      </c>
    </row>
    <row r="17" spans="1:19" ht="15" customHeight="1" x14ac:dyDescent="0.25">
      <c r="A17" s="16">
        <v>5</v>
      </c>
      <c r="B17" s="32"/>
      <c r="C17" s="33" t="s">
        <v>85</v>
      </c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8">
        <f t="shared" si="0"/>
        <v>0</v>
      </c>
    </row>
    <row r="18" spans="1:19" ht="15" customHeight="1" x14ac:dyDescent="0.25">
      <c r="A18" s="16">
        <v>6</v>
      </c>
      <c r="B18" s="32"/>
      <c r="C18" s="33" t="s">
        <v>86</v>
      </c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8">
        <f t="shared" si="0"/>
        <v>0</v>
      </c>
    </row>
    <row r="19" spans="1:19" ht="15" customHeight="1" x14ac:dyDescent="0.25">
      <c r="A19" s="16">
        <v>7</v>
      </c>
      <c r="B19" s="32"/>
      <c r="C19" s="33" t="s">
        <v>87</v>
      </c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8">
        <f t="shared" si="0"/>
        <v>0</v>
      </c>
    </row>
    <row r="20" spans="1:19" ht="15" customHeight="1" x14ac:dyDescent="0.25">
      <c r="A20" s="16">
        <v>8</v>
      </c>
      <c r="B20" s="32"/>
      <c r="C20" s="33" t="s">
        <v>88</v>
      </c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8">
        <f t="shared" si="0"/>
        <v>0</v>
      </c>
    </row>
    <row r="21" spans="1:19" ht="15" customHeight="1" x14ac:dyDescent="0.25">
      <c r="A21" s="16">
        <v>9</v>
      </c>
      <c r="B21" s="32"/>
      <c r="C21" s="33" t="s">
        <v>89</v>
      </c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8">
        <f t="shared" si="0"/>
        <v>0</v>
      </c>
    </row>
    <row r="22" spans="1:19" ht="15" customHeight="1" x14ac:dyDescent="0.25">
      <c r="A22" s="16">
        <v>10</v>
      </c>
      <c r="B22" s="32"/>
      <c r="C22" s="33" t="s">
        <v>204</v>
      </c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8">
        <f t="shared" si="0"/>
        <v>0</v>
      </c>
    </row>
    <row r="23" spans="1:19" ht="30" customHeight="1" x14ac:dyDescent="0.25">
      <c r="A23" s="16">
        <v>11</v>
      </c>
      <c r="B23" s="32"/>
      <c r="C23" s="33" t="s">
        <v>205</v>
      </c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8">
        <f t="shared" si="0"/>
        <v>0</v>
      </c>
    </row>
    <row r="24" spans="1:19" ht="15" x14ac:dyDescent="0.25">
      <c r="A24" s="16">
        <v>12</v>
      </c>
      <c r="B24" s="32"/>
      <c r="C24" s="33" t="s">
        <v>90</v>
      </c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8">
        <f t="shared" si="0"/>
        <v>0</v>
      </c>
    </row>
    <row r="25" spans="1:19" ht="15" x14ac:dyDescent="0.25">
      <c r="A25" s="16"/>
      <c r="B25" s="35">
        <v>10.1</v>
      </c>
      <c r="C25" s="21" t="s">
        <v>25</v>
      </c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8">
        <f t="shared" si="0"/>
        <v>0</v>
      </c>
    </row>
    <row r="26" spans="1:19" ht="15" x14ac:dyDescent="0.25">
      <c r="A26" s="16"/>
      <c r="B26" s="35">
        <v>10.199999999999999</v>
      </c>
      <c r="C26" s="21" t="s">
        <v>91</v>
      </c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8">
        <f t="shared" si="0"/>
        <v>0</v>
      </c>
    </row>
    <row r="27" spans="1:19" ht="15" x14ac:dyDescent="0.25">
      <c r="A27" s="16"/>
      <c r="B27" s="35">
        <v>10.3</v>
      </c>
      <c r="C27" s="21" t="s">
        <v>28</v>
      </c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8">
        <f t="shared" si="0"/>
        <v>0</v>
      </c>
    </row>
    <row r="28" spans="1:19" ht="15" x14ac:dyDescent="0.25">
      <c r="A28" s="16"/>
      <c r="B28" s="35">
        <v>10.4</v>
      </c>
      <c r="C28" s="21" t="s">
        <v>29</v>
      </c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8">
        <f t="shared" si="0"/>
        <v>0</v>
      </c>
    </row>
    <row r="29" spans="1:19" ht="15" x14ac:dyDescent="0.25">
      <c r="A29" s="16">
        <v>13</v>
      </c>
      <c r="B29" s="32"/>
      <c r="C29" s="33" t="s">
        <v>92</v>
      </c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8">
        <f t="shared" si="0"/>
        <v>0</v>
      </c>
    </row>
    <row r="30" spans="1:19" ht="15" x14ac:dyDescent="0.25">
      <c r="A30" s="16"/>
      <c r="B30" s="34">
        <v>11.1</v>
      </c>
      <c r="C30" s="21" t="s">
        <v>31</v>
      </c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8">
        <f t="shared" si="0"/>
        <v>0</v>
      </c>
    </row>
    <row r="31" spans="1:19" ht="15" x14ac:dyDescent="0.25">
      <c r="A31" s="16"/>
      <c r="B31" s="34">
        <v>11.2</v>
      </c>
      <c r="C31" s="21" t="s">
        <v>93</v>
      </c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8">
        <f t="shared" si="0"/>
        <v>0</v>
      </c>
    </row>
    <row r="32" spans="1:19" ht="15" x14ac:dyDescent="0.25">
      <c r="A32" s="16">
        <v>14</v>
      </c>
      <c r="B32" s="32"/>
      <c r="C32" s="33" t="s">
        <v>206</v>
      </c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8">
        <f t="shared" si="0"/>
        <v>0</v>
      </c>
    </row>
    <row r="33" spans="1:19" ht="15" x14ac:dyDescent="0.25">
      <c r="A33" s="16">
        <v>15</v>
      </c>
      <c r="B33" s="32"/>
      <c r="C33" s="33" t="s">
        <v>94</v>
      </c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8">
        <f t="shared" si="0"/>
        <v>0</v>
      </c>
    </row>
    <row r="34" spans="1:19" ht="15" x14ac:dyDescent="0.25">
      <c r="A34" s="16">
        <v>16</v>
      </c>
      <c r="B34" s="32"/>
      <c r="C34" s="33" t="s">
        <v>207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8">
        <f t="shared" si="0"/>
        <v>0</v>
      </c>
    </row>
    <row r="35" spans="1:19" ht="15" x14ac:dyDescent="0.25">
      <c r="A35" s="16">
        <v>17</v>
      </c>
      <c r="B35" s="32"/>
      <c r="C35" s="33" t="s">
        <v>95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8">
        <f t="shared" si="0"/>
        <v>0</v>
      </c>
    </row>
    <row r="36" spans="1:19" ht="15" x14ac:dyDescent="0.25">
      <c r="A36" s="16">
        <v>18</v>
      </c>
      <c r="B36" s="32"/>
      <c r="C36" s="33" t="s">
        <v>76</v>
      </c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8">
        <f t="shared" si="0"/>
        <v>0</v>
      </c>
    </row>
    <row r="37" spans="1:19" ht="15" x14ac:dyDescent="0.25">
      <c r="A37" s="16"/>
      <c r="B37" s="32"/>
      <c r="C37" s="15" t="s">
        <v>96</v>
      </c>
      <c r="D37" s="118">
        <f>SUM(D11:D36)</f>
        <v>0</v>
      </c>
      <c r="E37" s="118">
        <f t="shared" ref="E37:R37" si="1">SUM(E11:E36)</f>
        <v>0</v>
      </c>
      <c r="F37" s="118">
        <f t="shared" si="1"/>
        <v>0</v>
      </c>
      <c r="G37" s="118">
        <f t="shared" si="1"/>
        <v>0</v>
      </c>
      <c r="H37" s="118">
        <f t="shared" si="1"/>
        <v>0</v>
      </c>
      <c r="I37" s="118">
        <f t="shared" si="1"/>
        <v>0</v>
      </c>
      <c r="J37" s="118">
        <f t="shared" si="1"/>
        <v>0</v>
      </c>
      <c r="K37" s="118">
        <f t="shared" si="1"/>
        <v>0</v>
      </c>
      <c r="L37" s="118">
        <f t="shared" si="1"/>
        <v>0</v>
      </c>
      <c r="M37" s="118">
        <f t="shared" si="1"/>
        <v>0</v>
      </c>
      <c r="N37" s="118">
        <f t="shared" si="1"/>
        <v>0</v>
      </c>
      <c r="O37" s="118">
        <f t="shared" si="1"/>
        <v>0</v>
      </c>
      <c r="P37" s="118">
        <f t="shared" si="1"/>
        <v>0</v>
      </c>
      <c r="Q37" s="118">
        <f t="shared" si="1"/>
        <v>0</v>
      </c>
      <c r="R37" s="118">
        <f t="shared" si="1"/>
        <v>0</v>
      </c>
      <c r="S37" s="118">
        <f>SUM(S11:S36)</f>
        <v>0</v>
      </c>
    </row>
    <row r="38" spans="1:19" ht="15" x14ac:dyDescent="0.2">
      <c r="A38" s="36"/>
      <c r="C38" s="37"/>
    </row>
    <row r="39" spans="1:19" ht="15" x14ac:dyDescent="0.2">
      <c r="A39" s="36"/>
      <c r="C39" s="37"/>
    </row>
    <row r="40" spans="1:19" ht="15" x14ac:dyDescent="0.2">
      <c r="A40" s="36"/>
      <c r="B40" s="29" t="s">
        <v>55</v>
      </c>
      <c r="E40" s="151"/>
      <c r="F40" s="151"/>
      <c r="G40" s="151"/>
      <c r="J40" s="30" t="s">
        <v>97</v>
      </c>
    </row>
    <row r="41" spans="1:19" ht="11.25" customHeight="1" x14ac:dyDescent="0.2">
      <c r="A41" s="36"/>
      <c r="C41" s="37"/>
      <c r="E41" s="141" t="s">
        <v>233</v>
      </c>
      <c r="F41" s="141"/>
      <c r="G41" s="141"/>
    </row>
    <row r="42" spans="1:19" ht="15" x14ac:dyDescent="0.2">
      <c r="A42" s="36"/>
      <c r="C42" s="37"/>
      <c r="E42" s="30" t="s">
        <v>57</v>
      </c>
      <c r="G42" s="148"/>
      <c r="H42" s="148"/>
      <c r="I42" s="148"/>
      <c r="L42" s="142" t="s">
        <v>99</v>
      </c>
      <c r="M42" s="142"/>
      <c r="N42" s="148"/>
      <c r="O42" s="148"/>
      <c r="P42" s="148"/>
    </row>
    <row r="43" spans="1:19" ht="11.25" customHeight="1" x14ac:dyDescent="0.2">
      <c r="A43" s="36"/>
      <c r="C43" s="37"/>
      <c r="G43" s="141" t="s">
        <v>227</v>
      </c>
      <c r="H43" s="141"/>
      <c r="I43" s="141"/>
      <c r="N43" s="141" t="s">
        <v>234</v>
      </c>
      <c r="O43" s="141"/>
      <c r="P43" s="141"/>
    </row>
    <row r="44" spans="1:19" ht="15" x14ac:dyDescent="0.2">
      <c r="A44" s="36"/>
      <c r="C44" s="37"/>
      <c r="E44" s="30" t="s">
        <v>98</v>
      </c>
      <c r="G44" s="148"/>
      <c r="H44" s="148"/>
      <c r="I44" s="148"/>
    </row>
    <row r="45" spans="1:19" ht="11.25" customHeight="1" x14ac:dyDescent="0.2">
      <c r="A45" s="36"/>
      <c r="C45" s="37"/>
      <c r="G45" s="141" t="s">
        <v>229</v>
      </c>
      <c r="H45" s="141"/>
      <c r="I45" s="141"/>
    </row>
    <row r="46" spans="1:19" ht="15" x14ac:dyDescent="0.2">
      <c r="A46" s="36"/>
      <c r="C46" s="37"/>
    </row>
    <row r="47" spans="1:19" ht="15" x14ac:dyDescent="0.25">
      <c r="A47" s="38"/>
      <c r="C47" s="37"/>
    </row>
    <row r="48" spans="1:19" ht="15" x14ac:dyDescent="0.25">
      <c r="A48" s="38"/>
      <c r="C48" s="95" t="s">
        <v>240</v>
      </c>
    </row>
    <row r="49" spans="1:3" ht="15" x14ac:dyDescent="0.25">
      <c r="A49" s="38"/>
      <c r="C49" s="37"/>
    </row>
    <row r="50" spans="1:3" ht="15" x14ac:dyDescent="0.25">
      <c r="A50" s="38"/>
      <c r="C50" s="37"/>
    </row>
    <row r="51" spans="1:3" ht="15" x14ac:dyDescent="0.25">
      <c r="A51" s="38"/>
      <c r="C51" s="37"/>
    </row>
    <row r="52" spans="1:3" ht="15" x14ac:dyDescent="0.25">
      <c r="A52" s="38"/>
      <c r="C52" s="37"/>
    </row>
    <row r="53" spans="1:3" ht="15" x14ac:dyDescent="0.25">
      <c r="A53" s="38"/>
      <c r="C53" s="37"/>
    </row>
    <row r="54" spans="1:3" ht="15" x14ac:dyDescent="0.25">
      <c r="A54" s="38"/>
      <c r="C54" s="37"/>
    </row>
    <row r="55" spans="1:3" ht="15" x14ac:dyDescent="0.25">
      <c r="A55" s="38"/>
      <c r="C55" s="37"/>
    </row>
    <row r="56" spans="1:3" ht="15" x14ac:dyDescent="0.25">
      <c r="A56" s="38"/>
      <c r="C56" s="37"/>
    </row>
    <row r="57" spans="1:3" ht="15" x14ac:dyDescent="0.25">
      <c r="A57" s="38"/>
      <c r="C57" s="37"/>
    </row>
    <row r="58" spans="1:3" ht="15" x14ac:dyDescent="0.25">
      <c r="A58" s="38"/>
      <c r="C58" s="37"/>
    </row>
    <row r="59" spans="1:3" ht="15" x14ac:dyDescent="0.25">
      <c r="A59" s="38"/>
      <c r="C59" s="37"/>
    </row>
    <row r="60" spans="1:3" ht="15" x14ac:dyDescent="0.25">
      <c r="A60" s="38"/>
      <c r="C60" s="37"/>
    </row>
    <row r="61" spans="1:3" ht="15" x14ac:dyDescent="0.25">
      <c r="A61" s="38"/>
      <c r="C61" s="37"/>
    </row>
    <row r="62" spans="1:3" ht="15" x14ac:dyDescent="0.25">
      <c r="A62" s="38"/>
      <c r="C62" s="37"/>
    </row>
    <row r="63" spans="1:3" ht="15" x14ac:dyDescent="0.25">
      <c r="A63" s="38"/>
      <c r="C63" s="37"/>
    </row>
    <row r="64" spans="1:3" ht="15" x14ac:dyDescent="0.25">
      <c r="A64" s="38"/>
      <c r="C64" s="37"/>
    </row>
    <row r="65" spans="1:3" ht="15" x14ac:dyDescent="0.25">
      <c r="A65" s="38"/>
      <c r="C65" s="37"/>
    </row>
    <row r="66" spans="1:3" ht="15" x14ac:dyDescent="0.25">
      <c r="A66" s="38"/>
      <c r="C66" s="37"/>
    </row>
    <row r="67" spans="1:3" ht="15" x14ac:dyDescent="0.25">
      <c r="A67" s="38"/>
      <c r="C67" s="37"/>
    </row>
    <row r="68" spans="1:3" ht="15" x14ac:dyDescent="0.25">
      <c r="A68" s="38"/>
      <c r="C68" s="37"/>
    </row>
    <row r="69" spans="1:3" ht="15" x14ac:dyDescent="0.25">
      <c r="A69" s="38"/>
      <c r="C69" s="37"/>
    </row>
    <row r="70" spans="1:3" ht="15" x14ac:dyDescent="0.25">
      <c r="A70" s="38"/>
      <c r="C70" s="37"/>
    </row>
    <row r="71" spans="1:3" ht="15" x14ac:dyDescent="0.25">
      <c r="A71" s="38"/>
      <c r="C71" s="37"/>
    </row>
    <row r="72" spans="1:3" ht="15" x14ac:dyDescent="0.25">
      <c r="A72" s="38"/>
      <c r="C72" s="37"/>
    </row>
    <row r="73" spans="1:3" ht="15" x14ac:dyDescent="0.25">
      <c r="A73" s="38"/>
      <c r="C73" s="37"/>
    </row>
    <row r="74" spans="1:3" ht="15" x14ac:dyDescent="0.25">
      <c r="A74" s="38"/>
      <c r="C74" s="37"/>
    </row>
    <row r="75" spans="1:3" ht="15" x14ac:dyDescent="0.25">
      <c r="A75" s="38"/>
      <c r="C75" s="37"/>
    </row>
    <row r="76" spans="1:3" ht="15" x14ac:dyDescent="0.25">
      <c r="A76" s="38"/>
      <c r="C76" s="37"/>
    </row>
    <row r="77" spans="1:3" ht="15" x14ac:dyDescent="0.25">
      <c r="A77" s="38"/>
      <c r="C77" s="37"/>
    </row>
    <row r="78" spans="1:3" ht="15" x14ac:dyDescent="0.25">
      <c r="A78" s="38"/>
      <c r="C78" s="37"/>
    </row>
    <row r="79" spans="1:3" ht="15" x14ac:dyDescent="0.25">
      <c r="A79" s="38"/>
      <c r="C79" s="37"/>
    </row>
    <row r="80" spans="1:3" ht="15" x14ac:dyDescent="0.25">
      <c r="A80" s="38"/>
      <c r="C80" s="37"/>
    </row>
    <row r="81" spans="1:3" ht="15" x14ac:dyDescent="0.25">
      <c r="A81" s="38"/>
      <c r="C81" s="37"/>
    </row>
    <row r="82" spans="1:3" ht="15" x14ac:dyDescent="0.25">
      <c r="A82" s="38"/>
      <c r="C82" s="37"/>
    </row>
    <row r="83" spans="1:3" ht="15" x14ac:dyDescent="0.25">
      <c r="A83" s="38"/>
      <c r="C83" s="37"/>
    </row>
    <row r="84" spans="1:3" ht="15" x14ac:dyDescent="0.25">
      <c r="A84" s="38"/>
      <c r="C84" s="37"/>
    </row>
    <row r="85" spans="1:3" ht="15" x14ac:dyDescent="0.25">
      <c r="A85" s="38"/>
      <c r="C85" s="37"/>
    </row>
    <row r="86" spans="1:3" ht="15" x14ac:dyDescent="0.25">
      <c r="A86" s="38"/>
      <c r="C86" s="37"/>
    </row>
    <row r="87" spans="1:3" ht="15" x14ac:dyDescent="0.25">
      <c r="A87" s="38"/>
      <c r="C87" s="37"/>
    </row>
    <row r="88" spans="1:3" ht="15" x14ac:dyDescent="0.25">
      <c r="A88" s="38"/>
      <c r="C88" s="37"/>
    </row>
    <row r="89" spans="1:3" ht="15" x14ac:dyDescent="0.25">
      <c r="A89" s="38"/>
      <c r="C89" s="37"/>
    </row>
    <row r="90" spans="1:3" ht="15" x14ac:dyDescent="0.25">
      <c r="A90" s="38"/>
      <c r="C90" s="37"/>
    </row>
    <row r="91" spans="1:3" ht="15" x14ac:dyDescent="0.25">
      <c r="A91" s="38"/>
      <c r="C91" s="37"/>
    </row>
    <row r="92" spans="1:3" ht="15" x14ac:dyDescent="0.25">
      <c r="A92" s="38"/>
      <c r="C92" s="37"/>
    </row>
    <row r="93" spans="1:3" ht="15" x14ac:dyDescent="0.25">
      <c r="A93" s="38"/>
      <c r="C93" s="37"/>
    </row>
    <row r="94" spans="1:3" ht="15" x14ac:dyDescent="0.25">
      <c r="A94" s="38"/>
      <c r="C94" s="37"/>
    </row>
    <row r="95" spans="1:3" ht="15" x14ac:dyDescent="0.25">
      <c r="A95" s="38"/>
      <c r="C95" s="37"/>
    </row>
    <row r="96" spans="1:3" ht="15" x14ac:dyDescent="0.25">
      <c r="A96" s="38"/>
      <c r="C96" s="37"/>
    </row>
    <row r="97" spans="1:3" ht="15" x14ac:dyDescent="0.25">
      <c r="A97" s="38"/>
      <c r="C97" s="37"/>
    </row>
    <row r="98" spans="1:3" ht="15" x14ac:dyDescent="0.25">
      <c r="A98" s="38"/>
      <c r="C98" s="37"/>
    </row>
    <row r="99" spans="1:3" ht="15" x14ac:dyDescent="0.25">
      <c r="A99" s="38"/>
      <c r="C99" s="37"/>
    </row>
    <row r="100" spans="1:3" ht="15" x14ac:dyDescent="0.25">
      <c r="A100" s="38"/>
      <c r="C100" s="37"/>
    </row>
    <row r="101" spans="1:3" ht="15" x14ac:dyDescent="0.25">
      <c r="A101" s="38"/>
      <c r="C101" s="37"/>
    </row>
    <row r="102" spans="1:3" ht="15" x14ac:dyDescent="0.25">
      <c r="A102" s="38"/>
      <c r="C102" s="37"/>
    </row>
    <row r="103" spans="1:3" ht="15" x14ac:dyDescent="0.25">
      <c r="A103" s="38"/>
      <c r="C103" s="37"/>
    </row>
    <row r="104" spans="1:3" ht="15" x14ac:dyDescent="0.25">
      <c r="A104" s="38"/>
      <c r="C104" s="37"/>
    </row>
    <row r="105" spans="1:3" ht="15" x14ac:dyDescent="0.25">
      <c r="A105" s="38"/>
      <c r="C105" s="37"/>
    </row>
    <row r="106" spans="1:3" ht="15" x14ac:dyDescent="0.25">
      <c r="A106" s="38"/>
      <c r="C106" s="37"/>
    </row>
    <row r="107" spans="1:3" ht="15" x14ac:dyDescent="0.25">
      <c r="A107" s="38"/>
      <c r="C107" s="37"/>
    </row>
    <row r="108" spans="1:3" ht="15" x14ac:dyDescent="0.25">
      <c r="A108" s="38"/>
      <c r="C108" s="37"/>
    </row>
    <row r="109" spans="1:3" ht="15" x14ac:dyDescent="0.25">
      <c r="A109" s="38"/>
      <c r="C109" s="37"/>
    </row>
    <row r="110" spans="1:3" ht="15" x14ac:dyDescent="0.25">
      <c r="A110" s="38"/>
      <c r="C110" s="37"/>
    </row>
    <row r="111" spans="1:3" ht="15" x14ac:dyDescent="0.25">
      <c r="A111" s="38"/>
      <c r="C111" s="37"/>
    </row>
    <row r="112" spans="1:3" ht="15" x14ac:dyDescent="0.25">
      <c r="A112" s="38"/>
      <c r="C112" s="37"/>
    </row>
    <row r="113" spans="1:3" ht="15" x14ac:dyDescent="0.25">
      <c r="A113" s="38"/>
      <c r="C113" s="37"/>
    </row>
    <row r="114" spans="1:3" ht="15" x14ac:dyDescent="0.25">
      <c r="A114" s="38"/>
      <c r="C114" s="37"/>
    </row>
    <row r="115" spans="1:3" ht="15" x14ac:dyDescent="0.25">
      <c r="A115" s="38"/>
      <c r="C115" s="37"/>
    </row>
    <row r="116" spans="1:3" ht="15" x14ac:dyDescent="0.25">
      <c r="A116" s="38"/>
      <c r="C116" s="37"/>
    </row>
    <row r="117" spans="1:3" ht="15" x14ac:dyDescent="0.25">
      <c r="A117" s="38"/>
      <c r="C117" s="37"/>
    </row>
    <row r="118" spans="1:3" ht="15" x14ac:dyDescent="0.25">
      <c r="A118" s="38"/>
      <c r="C118" s="37"/>
    </row>
    <row r="119" spans="1:3" ht="15" x14ac:dyDescent="0.25">
      <c r="A119" s="38"/>
      <c r="C119" s="37"/>
    </row>
    <row r="120" spans="1:3" ht="15" x14ac:dyDescent="0.25">
      <c r="A120" s="38"/>
      <c r="C120" s="37"/>
    </row>
    <row r="121" spans="1:3" ht="15" x14ac:dyDescent="0.25">
      <c r="A121" s="38"/>
      <c r="C121" s="37"/>
    </row>
    <row r="122" spans="1:3" ht="15" x14ac:dyDescent="0.25">
      <c r="A122" s="38"/>
      <c r="C122" s="37"/>
    </row>
    <row r="123" spans="1:3" ht="15" x14ac:dyDescent="0.25">
      <c r="A123" s="38"/>
      <c r="C123" s="37"/>
    </row>
    <row r="124" spans="1:3" ht="15" x14ac:dyDescent="0.25">
      <c r="A124" s="38"/>
      <c r="C124" s="37"/>
    </row>
    <row r="125" spans="1:3" ht="15" x14ac:dyDescent="0.25">
      <c r="A125" s="38"/>
      <c r="C125" s="37"/>
    </row>
    <row r="126" spans="1:3" ht="15" x14ac:dyDescent="0.25">
      <c r="A126" s="38"/>
      <c r="C126" s="37"/>
    </row>
    <row r="127" spans="1:3" ht="15" x14ac:dyDescent="0.25">
      <c r="A127" s="38"/>
      <c r="C127" s="37"/>
    </row>
    <row r="128" spans="1:3" ht="15" x14ac:dyDescent="0.25">
      <c r="A128" s="38"/>
      <c r="C128" s="37"/>
    </row>
    <row r="129" spans="1:3" ht="15" x14ac:dyDescent="0.25">
      <c r="A129" s="38"/>
      <c r="C129" s="37"/>
    </row>
    <row r="130" spans="1:3" ht="15" x14ac:dyDescent="0.25">
      <c r="A130" s="38"/>
      <c r="C130" s="37"/>
    </row>
    <row r="131" spans="1:3" ht="15" x14ac:dyDescent="0.25">
      <c r="A131" s="38"/>
      <c r="C131" s="37"/>
    </row>
    <row r="132" spans="1:3" ht="15" x14ac:dyDescent="0.25">
      <c r="A132" s="38"/>
      <c r="C132" s="37"/>
    </row>
    <row r="133" spans="1:3" ht="15" x14ac:dyDescent="0.25">
      <c r="A133" s="38"/>
      <c r="C133" s="37"/>
    </row>
    <row r="134" spans="1:3" ht="15" x14ac:dyDescent="0.25">
      <c r="A134" s="38"/>
      <c r="C134" s="37"/>
    </row>
    <row r="135" spans="1:3" ht="15" x14ac:dyDescent="0.25">
      <c r="A135" s="38"/>
      <c r="C135" s="37"/>
    </row>
    <row r="136" spans="1:3" ht="15" x14ac:dyDescent="0.25">
      <c r="A136" s="38"/>
      <c r="C136" s="37"/>
    </row>
    <row r="137" spans="1:3" ht="15" x14ac:dyDescent="0.25">
      <c r="A137" s="38"/>
      <c r="C137" s="37"/>
    </row>
    <row r="138" spans="1:3" ht="15" x14ac:dyDescent="0.25">
      <c r="A138" s="38"/>
      <c r="C138" s="37"/>
    </row>
    <row r="139" spans="1:3" ht="15" x14ac:dyDescent="0.25">
      <c r="A139" s="38"/>
      <c r="C139" s="37"/>
    </row>
    <row r="140" spans="1:3" ht="15" x14ac:dyDescent="0.25">
      <c r="A140" s="38"/>
      <c r="C140" s="37"/>
    </row>
    <row r="141" spans="1:3" ht="15" x14ac:dyDescent="0.25">
      <c r="A141" s="38"/>
      <c r="C141" s="37"/>
    </row>
    <row r="142" spans="1:3" ht="15" x14ac:dyDescent="0.25">
      <c r="A142" s="38"/>
      <c r="C142" s="37"/>
    </row>
    <row r="143" spans="1:3" ht="15" x14ac:dyDescent="0.25">
      <c r="A143" s="38"/>
      <c r="C143" s="37"/>
    </row>
    <row r="144" spans="1:3" ht="15" x14ac:dyDescent="0.25">
      <c r="A144" s="38"/>
      <c r="C144" s="37"/>
    </row>
    <row r="145" spans="1:3" ht="15" x14ac:dyDescent="0.25">
      <c r="A145" s="38"/>
      <c r="C145" s="37"/>
    </row>
    <row r="146" spans="1:3" ht="15" x14ac:dyDescent="0.25">
      <c r="A146" s="38"/>
      <c r="C146" s="37"/>
    </row>
    <row r="147" spans="1:3" ht="15" x14ac:dyDescent="0.25">
      <c r="A147" s="38"/>
      <c r="C147" s="37"/>
    </row>
    <row r="148" spans="1:3" ht="15" x14ac:dyDescent="0.25">
      <c r="A148" s="38"/>
      <c r="C148" s="37"/>
    </row>
    <row r="149" spans="1:3" ht="15" x14ac:dyDescent="0.25">
      <c r="A149" s="38"/>
      <c r="C149" s="37"/>
    </row>
    <row r="150" spans="1:3" ht="15" x14ac:dyDescent="0.25">
      <c r="A150" s="38"/>
      <c r="C150" s="37"/>
    </row>
    <row r="151" spans="1:3" ht="15" x14ac:dyDescent="0.25">
      <c r="A151" s="38"/>
      <c r="C151" s="37"/>
    </row>
    <row r="152" spans="1:3" ht="15" x14ac:dyDescent="0.25">
      <c r="A152" s="38"/>
      <c r="C152" s="37"/>
    </row>
    <row r="153" spans="1:3" ht="15" x14ac:dyDescent="0.25">
      <c r="A153" s="38"/>
      <c r="C153" s="37"/>
    </row>
    <row r="154" spans="1:3" ht="15" x14ac:dyDescent="0.25">
      <c r="A154" s="38"/>
      <c r="C154" s="37"/>
    </row>
    <row r="155" spans="1:3" ht="15" x14ac:dyDescent="0.25">
      <c r="A155" s="38"/>
      <c r="C155" s="37"/>
    </row>
    <row r="156" spans="1:3" ht="15" x14ac:dyDescent="0.25">
      <c r="A156" s="38"/>
      <c r="C156" s="37"/>
    </row>
    <row r="157" spans="1:3" ht="15" x14ac:dyDescent="0.25">
      <c r="A157" s="38"/>
      <c r="C157" s="37"/>
    </row>
    <row r="158" spans="1:3" ht="15" x14ac:dyDescent="0.25">
      <c r="A158" s="38"/>
      <c r="C158" s="37"/>
    </row>
    <row r="159" spans="1:3" ht="15" x14ac:dyDescent="0.25">
      <c r="A159" s="38"/>
      <c r="C159" s="37"/>
    </row>
    <row r="160" spans="1:3" ht="15" x14ac:dyDescent="0.25">
      <c r="A160" s="38"/>
      <c r="C160" s="37"/>
    </row>
    <row r="161" spans="1:3" ht="15" x14ac:dyDescent="0.25">
      <c r="A161" s="38"/>
      <c r="C161" s="37"/>
    </row>
    <row r="162" spans="1:3" ht="15" x14ac:dyDescent="0.25">
      <c r="A162" s="38"/>
      <c r="C162" s="37"/>
    </row>
    <row r="163" spans="1:3" ht="15" x14ac:dyDescent="0.25">
      <c r="A163" s="38"/>
      <c r="C163" s="37"/>
    </row>
    <row r="164" spans="1:3" ht="15" x14ac:dyDescent="0.25">
      <c r="A164" s="38"/>
      <c r="C164" s="37"/>
    </row>
    <row r="165" spans="1:3" ht="15" x14ac:dyDescent="0.25">
      <c r="A165" s="38"/>
      <c r="C165" s="37"/>
    </row>
    <row r="166" spans="1:3" ht="15" x14ac:dyDescent="0.25">
      <c r="A166" s="38"/>
      <c r="C166" s="37"/>
    </row>
    <row r="167" spans="1:3" ht="15" x14ac:dyDescent="0.25">
      <c r="A167" s="38"/>
      <c r="C167" s="37"/>
    </row>
    <row r="168" spans="1:3" ht="15" x14ac:dyDescent="0.25">
      <c r="A168" s="38"/>
      <c r="C168" s="37"/>
    </row>
    <row r="169" spans="1:3" ht="15" x14ac:dyDescent="0.25">
      <c r="A169" s="38"/>
      <c r="C169" s="37"/>
    </row>
    <row r="170" spans="1:3" ht="15" x14ac:dyDescent="0.25">
      <c r="A170" s="38"/>
      <c r="C170" s="37"/>
    </row>
    <row r="171" spans="1:3" ht="15" x14ac:dyDescent="0.25">
      <c r="A171" s="38"/>
      <c r="C171" s="37"/>
    </row>
    <row r="172" spans="1:3" ht="15" x14ac:dyDescent="0.25">
      <c r="A172" s="38"/>
      <c r="C172" s="37"/>
    </row>
    <row r="173" spans="1:3" ht="15" x14ac:dyDescent="0.25">
      <c r="A173" s="38"/>
      <c r="C173" s="37"/>
    </row>
    <row r="174" spans="1:3" ht="15" x14ac:dyDescent="0.25">
      <c r="A174" s="38"/>
      <c r="C174" s="37"/>
    </row>
    <row r="175" spans="1:3" ht="15" x14ac:dyDescent="0.25">
      <c r="A175" s="38"/>
      <c r="C175" s="37"/>
    </row>
    <row r="176" spans="1:3" ht="15" x14ac:dyDescent="0.25">
      <c r="A176" s="38"/>
      <c r="C176" s="37"/>
    </row>
    <row r="177" spans="1:3" ht="15" x14ac:dyDescent="0.25">
      <c r="A177" s="38"/>
      <c r="C177" s="37"/>
    </row>
    <row r="178" spans="1:3" ht="15" x14ac:dyDescent="0.25">
      <c r="A178" s="38"/>
      <c r="C178" s="37"/>
    </row>
    <row r="179" spans="1:3" ht="15" x14ac:dyDescent="0.25">
      <c r="A179" s="38"/>
      <c r="C179" s="37"/>
    </row>
    <row r="180" spans="1:3" ht="15" x14ac:dyDescent="0.25">
      <c r="A180" s="38"/>
      <c r="C180" s="37"/>
    </row>
    <row r="181" spans="1:3" ht="15" x14ac:dyDescent="0.25">
      <c r="A181" s="38"/>
      <c r="C181" s="37"/>
    </row>
    <row r="182" spans="1:3" ht="15" x14ac:dyDescent="0.25">
      <c r="A182" s="38"/>
      <c r="C182" s="37"/>
    </row>
    <row r="183" spans="1:3" ht="15" x14ac:dyDescent="0.25">
      <c r="A183" s="38"/>
      <c r="C183" s="37"/>
    </row>
    <row r="184" spans="1:3" ht="15" x14ac:dyDescent="0.25">
      <c r="A184" s="38"/>
      <c r="C184" s="37"/>
    </row>
    <row r="185" spans="1:3" ht="15" x14ac:dyDescent="0.25">
      <c r="A185" s="38"/>
      <c r="C185" s="37"/>
    </row>
    <row r="186" spans="1:3" ht="15" x14ac:dyDescent="0.25">
      <c r="A186" s="38"/>
      <c r="C186" s="37"/>
    </row>
    <row r="187" spans="1:3" ht="15" x14ac:dyDescent="0.25">
      <c r="A187" s="38"/>
      <c r="C187" s="37"/>
    </row>
    <row r="188" spans="1:3" ht="15" x14ac:dyDescent="0.25">
      <c r="A188" s="38"/>
      <c r="C188" s="37"/>
    </row>
    <row r="189" spans="1:3" ht="15" x14ac:dyDescent="0.25">
      <c r="A189" s="38"/>
      <c r="C189" s="37"/>
    </row>
    <row r="190" spans="1:3" ht="15" x14ac:dyDescent="0.25">
      <c r="A190" s="38"/>
      <c r="C190" s="37"/>
    </row>
    <row r="191" spans="1:3" ht="15" x14ac:dyDescent="0.25">
      <c r="A191" s="38"/>
      <c r="C191" s="37"/>
    </row>
    <row r="192" spans="1:3" ht="15" x14ac:dyDescent="0.25">
      <c r="A192" s="38"/>
      <c r="C192" s="37"/>
    </row>
    <row r="193" spans="1:3" ht="15" x14ac:dyDescent="0.25">
      <c r="A193" s="38"/>
      <c r="C193" s="37"/>
    </row>
    <row r="194" spans="1:3" ht="15" x14ac:dyDescent="0.25">
      <c r="A194" s="38"/>
      <c r="C194" s="37"/>
    </row>
    <row r="195" spans="1:3" ht="15" x14ac:dyDescent="0.25">
      <c r="A195" s="38"/>
      <c r="C195" s="37"/>
    </row>
    <row r="196" spans="1:3" ht="15" x14ac:dyDescent="0.25">
      <c r="A196" s="38"/>
      <c r="C196" s="37"/>
    </row>
    <row r="197" spans="1:3" ht="15" x14ac:dyDescent="0.25">
      <c r="A197" s="38"/>
      <c r="C197" s="37"/>
    </row>
    <row r="198" spans="1:3" ht="15" x14ac:dyDescent="0.25">
      <c r="A198" s="38"/>
      <c r="C198" s="37"/>
    </row>
    <row r="199" spans="1:3" ht="15" x14ac:dyDescent="0.25">
      <c r="A199" s="38"/>
      <c r="C199" s="37"/>
    </row>
    <row r="200" spans="1:3" ht="15" x14ac:dyDescent="0.25">
      <c r="A200" s="38"/>
      <c r="C200" s="37"/>
    </row>
    <row r="201" spans="1:3" ht="15" x14ac:dyDescent="0.25">
      <c r="A201" s="38"/>
      <c r="C201" s="37"/>
    </row>
    <row r="202" spans="1:3" ht="15" x14ac:dyDescent="0.25">
      <c r="A202" s="38"/>
      <c r="C202" s="37"/>
    </row>
    <row r="203" spans="1:3" ht="15" x14ac:dyDescent="0.25">
      <c r="A203" s="38"/>
      <c r="C203" s="37"/>
    </row>
    <row r="204" spans="1:3" ht="15" x14ac:dyDescent="0.25">
      <c r="A204" s="38"/>
      <c r="C204" s="37"/>
    </row>
    <row r="205" spans="1:3" ht="15" x14ac:dyDescent="0.25">
      <c r="A205" s="38"/>
      <c r="C205" s="37"/>
    </row>
    <row r="206" spans="1:3" ht="15" x14ac:dyDescent="0.25">
      <c r="A206" s="38"/>
      <c r="C206" s="37"/>
    </row>
    <row r="207" spans="1:3" ht="15" x14ac:dyDescent="0.25">
      <c r="A207" s="38"/>
      <c r="C207" s="37"/>
    </row>
    <row r="208" spans="1:3" ht="15" x14ac:dyDescent="0.25">
      <c r="A208" s="38"/>
      <c r="C208" s="37"/>
    </row>
    <row r="209" spans="1:3" ht="15" x14ac:dyDescent="0.25">
      <c r="A209" s="38"/>
      <c r="C209" s="37"/>
    </row>
    <row r="210" spans="1:3" ht="15" x14ac:dyDescent="0.25">
      <c r="A210" s="38"/>
      <c r="C210" s="37"/>
    </row>
    <row r="211" spans="1:3" ht="15" x14ac:dyDescent="0.25">
      <c r="A211" s="38"/>
      <c r="C211" s="37"/>
    </row>
    <row r="212" spans="1:3" ht="15" x14ac:dyDescent="0.25">
      <c r="A212" s="38"/>
      <c r="C212" s="37"/>
    </row>
    <row r="213" spans="1:3" ht="15" x14ac:dyDescent="0.25">
      <c r="A213" s="38"/>
      <c r="C213" s="37"/>
    </row>
    <row r="214" spans="1:3" ht="15" x14ac:dyDescent="0.25">
      <c r="A214" s="38"/>
      <c r="C214" s="37"/>
    </row>
    <row r="215" spans="1:3" ht="15" x14ac:dyDescent="0.25">
      <c r="A215" s="38"/>
      <c r="C215" s="37"/>
    </row>
    <row r="216" spans="1:3" ht="15" x14ac:dyDescent="0.25">
      <c r="A216" s="38"/>
      <c r="C216" s="37"/>
    </row>
    <row r="217" spans="1:3" ht="15" x14ac:dyDescent="0.25">
      <c r="A217" s="38"/>
      <c r="C217" s="37"/>
    </row>
    <row r="218" spans="1:3" ht="15" x14ac:dyDescent="0.25">
      <c r="A218" s="38"/>
      <c r="C218" s="37"/>
    </row>
    <row r="219" spans="1:3" ht="15" x14ac:dyDescent="0.25">
      <c r="A219" s="38"/>
      <c r="C219" s="37"/>
    </row>
    <row r="220" spans="1:3" ht="15" x14ac:dyDescent="0.25">
      <c r="A220" s="38"/>
      <c r="C220" s="37"/>
    </row>
    <row r="221" spans="1:3" ht="15" x14ac:dyDescent="0.25">
      <c r="A221" s="38"/>
      <c r="C221" s="37"/>
    </row>
    <row r="222" spans="1:3" ht="15" x14ac:dyDescent="0.25">
      <c r="A222" s="38"/>
      <c r="C222" s="37"/>
    </row>
    <row r="223" spans="1:3" ht="15" x14ac:dyDescent="0.25">
      <c r="A223" s="38"/>
      <c r="C223" s="37"/>
    </row>
    <row r="224" spans="1:3" ht="15" x14ac:dyDescent="0.25">
      <c r="A224" s="38"/>
      <c r="C224" s="37"/>
    </row>
    <row r="225" spans="1:3" ht="15" x14ac:dyDescent="0.25">
      <c r="A225" s="38"/>
      <c r="C225" s="37"/>
    </row>
    <row r="226" spans="1:3" ht="15" x14ac:dyDescent="0.25">
      <c r="A226" s="38"/>
      <c r="C226" s="37"/>
    </row>
    <row r="227" spans="1:3" ht="15" x14ac:dyDescent="0.25">
      <c r="A227" s="38"/>
      <c r="C227" s="37"/>
    </row>
    <row r="228" spans="1:3" ht="15" x14ac:dyDescent="0.25">
      <c r="A228" s="38"/>
      <c r="C228" s="37"/>
    </row>
    <row r="229" spans="1:3" ht="15" x14ac:dyDescent="0.25">
      <c r="A229" s="38"/>
      <c r="C229" s="37"/>
    </row>
    <row r="230" spans="1:3" ht="15" x14ac:dyDescent="0.25">
      <c r="A230" s="38"/>
      <c r="C230" s="37"/>
    </row>
    <row r="231" spans="1:3" ht="15" x14ac:dyDescent="0.25">
      <c r="A231" s="38"/>
      <c r="C231" s="37"/>
    </row>
    <row r="232" spans="1:3" ht="15" x14ac:dyDescent="0.25">
      <c r="A232" s="38"/>
      <c r="C232" s="37"/>
    </row>
    <row r="233" spans="1:3" ht="15" x14ac:dyDescent="0.25">
      <c r="A233" s="38"/>
      <c r="C233" s="37"/>
    </row>
    <row r="234" spans="1:3" ht="15" x14ac:dyDescent="0.25">
      <c r="A234" s="38"/>
      <c r="C234" s="37"/>
    </row>
    <row r="235" spans="1:3" ht="15" x14ac:dyDescent="0.25">
      <c r="A235" s="38"/>
      <c r="C235" s="37"/>
    </row>
    <row r="236" spans="1:3" ht="15" x14ac:dyDescent="0.25">
      <c r="A236" s="38"/>
      <c r="C236" s="37"/>
    </row>
    <row r="237" spans="1:3" ht="15" x14ac:dyDescent="0.25">
      <c r="A237" s="38"/>
      <c r="C237" s="37"/>
    </row>
    <row r="238" spans="1:3" ht="15" x14ac:dyDescent="0.25">
      <c r="A238" s="38"/>
      <c r="C238" s="37"/>
    </row>
    <row r="239" spans="1:3" ht="15" x14ac:dyDescent="0.25">
      <c r="A239" s="38"/>
      <c r="C239" s="37"/>
    </row>
    <row r="240" spans="1:3" ht="15" x14ac:dyDescent="0.25">
      <c r="A240" s="38"/>
      <c r="C240" s="37"/>
    </row>
    <row r="241" spans="1:3" ht="15" x14ac:dyDescent="0.25">
      <c r="A241" s="38"/>
      <c r="C241" s="37"/>
    </row>
    <row r="242" spans="1:3" ht="15" x14ac:dyDescent="0.25">
      <c r="A242" s="38"/>
      <c r="C242" s="37"/>
    </row>
    <row r="243" spans="1:3" ht="15" x14ac:dyDescent="0.25">
      <c r="A243" s="38"/>
      <c r="C243" s="37"/>
    </row>
    <row r="244" spans="1:3" ht="15" x14ac:dyDescent="0.25">
      <c r="A244" s="38"/>
      <c r="C244" s="37"/>
    </row>
    <row r="245" spans="1:3" ht="15" x14ac:dyDescent="0.25">
      <c r="A245" s="38"/>
      <c r="C245" s="37"/>
    </row>
    <row r="246" spans="1:3" ht="15" x14ac:dyDescent="0.25">
      <c r="A246" s="38"/>
      <c r="C246" s="37"/>
    </row>
    <row r="247" spans="1:3" ht="15" x14ac:dyDescent="0.25">
      <c r="A247" s="38"/>
      <c r="C247" s="37"/>
    </row>
    <row r="248" spans="1:3" ht="15" x14ac:dyDescent="0.25">
      <c r="A248" s="38"/>
      <c r="C248" s="37"/>
    </row>
    <row r="249" spans="1:3" ht="15" x14ac:dyDescent="0.25">
      <c r="A249" s="38"/>
      <c r="C249" s="37"/>
    </row>
    <row r="250" spans="1:3" ht="15" x14ac:dyDescent="0.25">
      <c r="A250" s="38"/>
      <c r="C250" s="37"/>
    </row>
    <row r="251" spans="1:3" ht="15" x14ac:dyDescent="0.25">
      <c r="A251" s="38"/>
      <c r="C251" s="37"/>
    </row>
    <row r="252" spans="1:3" ht="15" x14ac:dyDescent="0.25">
      <c r="A252" s="38"/>
      <c r="C252" s="37"/>
    </row>
    <row r="253" spans="1:3" ht="15" x14ac:dyDescent="0.25">
      <c r="A253" s="38"/>
      <c r="C253" s="37"/>
    </row>
    <row r="254" spans="1:3" ht="15" x14ac:dyDescent="0.25">
      <c r="A254" s="38"/>
      <c r="C254" s="37"/>
    </row>
    <row r="255" spans="1:3" ht="15" x14ac:dyDescent="0.25">
      <c r="A255" s="38"/>
      <c r="C255" s="37"/>
    </row>
    <row r="256" spans="1:3" ht="15" x14ac:dyDescent="0.25">
      <c r="A256" s="38"/>
      <c r="C256" s="37"/>
    </row>
    <row r="257" spans="1:3" ht="15" x14ac:dyDescent="0.25">
      <c r="A257" s="38"/>
      <c r="C257" s="37"/>
    </row>
    <row r="258" spans="1:3" ht="15" x14ac:dyDescent="0.25">
      <c r="A258" s="38"/>
      <c r="C258" s="37"/>
    </row>
    <row r="259" spans="1:3" ht="15" x14ac:dyDescent="0.25">
      <c r="A259" s="38"/>
      <c r="C259" s="37"/>
    </row>
    <row r="260" spans="1:3" ht="15" x14ac:dyDescent="0.25">
      <c r="A260" s="38"/>
      <c r="C260" s="37"/>
    </row>
    <row r="261" spans="1:3" ht="15" x14ac:dyDescent="0.25">
      <c r="A261" s="38"/>
      <c r="C261" s="37"/>
    </row>
    <row r="262" spans="1:3" ht="15" x14ac:dyDescent="0.25">
      <c r="A262" s="38"/>
      <c r="C262" s="37"/>
    </row>
    <row r="263" spans="1:3" ht="15" x14ac:dyDescent="0.25">
      <c r="A263" s="38"/>
      <c r="C263" s="37"/>
    </row>
    <row r="264" spans="1:3" ht="15" x14ac:dyDescent="0.25">
      <c r="A264" s="38"/>
      <c r="C264" s="37"/>
    </row>
    <row r="265" spans="1:3" ht="15" x14ac:dyDescent="0.25">
      <c r="A265" s="38"/>
      <c r="C265" s="37"/>
    </row>
    <row r="266" spans="1:3" ht="15" x14ac:dyDescent="0.25">
      <c r="A266" s="38"/>
      <c r="C266" s="37"/>
    </row>
    <row r="267" spans="1:3" ht="15" x14ac:dyDescent="0.25">
      <c r="A267" s="38"/>
      <c r="C267" s="37"/>
    </row>
    <row r="268" spans="1:3" ht="15" x14ac:dyDescent="0.25">
      <c r="A268" s="38"/>
      <c r="C268" s="37"/>
    </row>
    <row r="269" spans="1:3" ht="15" x14ac:dyDescent="0.25">
      <c r="A269" s="38"/>
      <c r="C269" s="37"/>
    </row>
    <row r="270" spans="1:3" ht="15" x14ac:dyDescent="0.25">
      <c r="A270" s="38"/>
      <c r="C270" s="37"/>
    </row>
    <row r="271" spans="1:3" ht="15" x14ac:dyDescent="0.25">
      <c r="A271" s="38"/>
      <c r="C271" s="37"/>
    </row>
    <row r="272" spans="1:3" ht="15" x14ac:dyDescent="0.25">
      <c r="A272" s="38"/>
      <c r="C272" s="37"/>
    </row>
    <row r="273" spans="1:3" ht="15" x14ac:dyDescent="0.25">
      <c r="A273" s="38"/>
      <c r="C273" s="37"/>
    </row>
    <row r="274" spans="1:3" ht="15" x14ac:dyDescent="0.25">
      <c r="A274" s="38"/>
      <c r="C274" s="37"/>
    </row>
    <row r="275" spans="1:3" ht="15" x14ac:dyDescent="0.25">
      <c r="A275" s="38"/>
      <c r="C275" s="37"/>
    </row>
    <row r="276" spans="1:3" ht="15" x14ac:dyDescent="0.25">
      <c r="A276" s="38"/>
      <c r="C276" s="37"/>
    </row>
    <row r="277" spans="1:3" ht="15" x14ac:dyDescent="0.25">
      <c r="A277" s="38"/>
      <c r="C277" s="37"/>
    </row>
    <row r="278" spans="1:3" ht="15" x14ac:dyDescent="0.25">
      <c r="A278" s="38"/>
      <c r="C278" s="37"/>
    </row>
    <row r="279" spans="1:3" ht="15" x14ac:dyDescent="0.25">
      <c r="A279" s="38"/>
      <c r="C279" s="37"/>
    </row>
    <row r="280" spans="1:3" ht="15" x14ac:dyDescent="0.25">
      <c r="A280" s="38"/>
      <c r="C280" s="37"/>
    </row>
    <row r="281" spans="1:3" ht="15" x14ac:dyDescent="0.25">
      <c r="A281" s="38"/>
      <c r="C281" s="37"/>
    </row>
    <row r="282" spans="1:3" ht="15" x14ac:dyDescent="0.25">
      <c r="A282" s="38"/>
      <c r="C282" s="37"/>
    </row>
    <row r="283" spans="1:3" ht="15" x14ac:dyDescent="0.25">
      <c r="A283" s="38"/>
      <c r="C283" s="37"/>
    </row>
    <row r="284" spans="1:3" ht="15" x14ac:dyDescent="0.25">
      <c r="A284" s="38"/>
      <c r="C284" s="37"/>
    </row>
    <row r="285" spans="1:3" ht="15" x14ac:dyDescent="0.25">
      <c r="A285" s="38"/>
      <c r="C285" s="37"/>
    </row>
    <row r="286" spans="1:3" ht="15" x14ac:dyDescent="0.25">
      <c r="A286" s="38"/>
      <c r="C286" s="37"/>
    </row>
    <row r="287" spans="1:3" ht="15" x14ac:dyDescent="0.25">
      <c r="A287" s="38"/>
      <c r="C287" s="37"/>
    </row>
    <row r="288" spans="1:3" ht="15" x14ac:dyDescent="0.25">
      <c r="A288" s="38"/>
      <c r="C288" s="37"/>
    </row>
    <row r="289" spans="1:3" ht="15" x14ac:dyDescent="0.25">
      <c r="A289" s="38"/>
      <c r="C289" s="37"/>
    </row>
    <row r="290" spans="1:3" ht="15" x14ac:dyDescent="0.25">
      <c r="A290" s="38"/>
      <c r="C290" s="37"/>
    </row>
    <row r="291" spans="1:3" ht="15" x14ac:dyDescent="0.25">
      <c r="A291" s="38"/>
      <c r="C291" s="37"/>
    </row>
    <row r="292" spans="1:3" ht="15" x14ac:dyDescent="0.25">
      <c r="A292" s="38"/>
      <c r="C292" s="37"/>
    </row>
    <row r="293" spans="1:3" ht="15" x14ac:dyDescent="0.25">
      <c r="A293" s="38"/>
      <c r="C293" s="37"/>
    </row>
    <row r="294" spans="1:3" ht="15" x14ac:dyDescent="0.25">
      <c r="A294" s="38"/>
      <c r="C294" s="37"/>
    </row>
    <row r="295" spans="1:3" ht="15" x14ac:dyDescent="0.25">
      <c r="A295" s="38"/>
      <c r="C295" s="37"/>
    </row>
    <row r="296" spans="1:3" ht="15" x14ac:dyDescent="0.25">
      <c r="A296" s="38"/>
      <c r="C296" s="37"/>
    </row>
    <row r="297" spans="1:3" ht="15" x14ac:dyDescent="0.25">
      <c r="A297" s="38"/>
      <c r="C297" s="37"/>
    </row>
    <row r="298" spans="1:3" ht="15" x14ac:dyDescent="0.25">
      <c r="A298" s="38"/>
      <c r="C298" s="37"/>
    </row>
    <row r="299" spans="1:3" ht="15" x14ac:dyDescent="0.25">
      <c r="A299" s="38"/>
      <c r="C299" s="37"/>
    </row>
    <row r="300" spans="1:3" ht="15" x14ac:dyDescent="0.25">
      <c r="A300" s="38"/>
      <c r="C300" s="37"/>
    </row>
    <row r="301" spans="1:3" ht="15" x14ac:dyDescent="0.25">
      <c r="A301" s="38"/>
      <c r="C301" s="37"/>
    </row>
    <row r="302" spans="1:3" ht="15" x14ac:dyDescent="0.25">
      <c r="A302" s="38"/>
      <c r="C302" s="37"/>
    </row>
    <row r="303" spans="1:3" ht="15" x14ac:dyDescent="0.25">
      <c r="A303" s="38"/>
      <c r="C303" s="37"/>
    </row>
    <row r="304" spans="1:3" ht="15" x14ac:dyDescent="0.25">
      <c r="A304" s="38"/>
      <c r="C304" s="37"/>
    </row>
    <row r="305" spans="1:3" ht="15" x14ac:dyDescent="0.25">
      <c r="A305" s="38"/>
      <c r="C305" s="37"/>
    </row>
    <row r="306" spans="1:3" ht="15" x14ac:dyDescent="0.25">
      <c r="A306" s="38"/>
      <c r="C306" s="37"/>
    </row>
    <row r="307" spans="1:3" ht="15" x14ac:dyDescent="0.25">
      <c r="A307" s="38"/>
      <c r="C307" s="37"/>
    </row>
    <row r="308" spans="1:3" ht="15" x14ac:dyDescent="0.25">
      <c r="A308" s="38"/>
      <c r="C308" s="37"/>
    </row>
    <row r="309" spans="1:3" ht="15" x14ac:dyDescent="0.25">
      <c r="A309" s="38"/>
      <c r="C309" s="37"/>
    </row>
    <row r="310" spans="1:3" ht="15" x14ac:dyDescent="0.25">
      <c r="A310" s="38"/>
      <c r="C310" s="37"/>
    </row>
    <row r="311" spans="1:3" ht="15" x14ac:dyDescent="0.25">
      <c r="A311" s="38"/>
      <c r="C311" s="37"/>
    </row>
    <row r="312" spans="1:3" ht="15" x14ac:dyDescent="0.25">
      <c r="A312" s="38"/>
      <c r="C312" s="37"/>
    </row>
    <row r="313" spans="1:3" ht="15" x14ac:dyDescent="0.25">
      <c r="A313" s="38"/>
      <c r="C313" s="37"/>
    </row>
    <row r="314" spans="1:3" ht="15" x14ac:dyDescent="0.25">
      <c r="A314" s="38"/>
      <c r="C314" s="37"/>
    </row>
    <row r="315" spans="1:3" ht="15" x14ac:dyDescent="0.25">
      <c r="A315" s="38"/>
      <c r="C315" s="37"/>
    </row>
    <row r="316" spans="1:3" ht="15" x14ac:dyDescent="0.25">
      <c r="A316" s="38"/>
      <c r="C316" s="37"/>
    </row>
    <row r="317" spans="1:3" ht="15" x14ac:dyDescent="0.25">
      <c r="A317" s="38"/>
      <c r="C317" s="37"/>
    </row>
    <row r="318" spans="1:3" ht="15" x14ac:dyDescent="0.25">
      <c r="A318" s="38"/>
      <c r="C318" s="37"/>
    </row>
    <row r="319" spans="1:3" ht="15" x14ac:dyDescent="0.25">
      <c r="A319" s="38"/>
      <c r="C319" s="37"/>
    </row>
    <row r="320" spans="1:3" ht="15" x14ac:dyDescent="0.25">
      <c r="A320" s="38"/>
      <c r="C320" s="37"/>
    </row>
    <row r="321" spans="1:3" ht="15" x14ac:dyDescent="0.25">
      <c r="A321" s="38"/>
      <c r="C321" s="37"/>
    </row>
    <row r="322" spans="1:3" ht="15" x14ac:dyDescent="0.25">
      <c r="A322" s="38"/>
      <c r="C322" s="37"/>
    </row>
    <row r="323" spans="1:3" ht="15" x14ac:dyDescent="0.25">
      <c r="A323" s="38"/>
      <c r="C323" s="37"/>
    </row>
    <row r="324" spans="1:3" ht="15" x14ac:dyDescent="0.25">
      <c r="A324" s="38"/>
      <c r="C324" s="37"/>
    </row>
    <row r="325" spans="1:3" ht="15" x14ac:dyDescent="0.25">
      <c r="A325" s="38"/>
      <c r="C325" s="37"/>
    </row>
    <row r="326" spans="1:3" ht="15" x14ac:dyDescent="0.25">
      <c r="A326" s="38"/>
      <c r="C326" s="37"/>
    </row>
    <row r="327" spans="1:3" ht="15" x14ac:dyDescent="0.25">
      <c r="A327" s="38"/>
      <c r="C327" s="37"/>
    </row>
    <row r="328" spans="1:3" ht="15" x14ac:dyDescent="0.25">
      <c r="A328" s="38"/>
      <c r="C328" s="37"/>
    </row>
    <row r="329" spans="1:3" ht="15" x14ac:dyDescent="0.25">
      <c r="A329" s="38"/>
      <c r="C329" s="37"/>
    </row>
    <row r="330" spans="1:3" ht="15" x14ac:dyDescent="0.25">
      <c r="A330" s="38"/>
      <c r="C330" s="37"/>
    </row>
    <row r="331" spans="1:3" ht="15" x14ac:dyDescent="0.25">
      <c r="A331" s="38"/>
    </row>
    <row r="332" spans="1:3" ht="15" x14ac:dyDescent="0.25">
      <c r="A332" s="38"/>
    </row>
    <row r="333" spans="1:3" ht="15" x14ac:dyDescent="0.25">
      <c r="A333" s="38"/>
    </row>
    <row r="334" spans="1:3" ht="15" x14ac:dyDescent="0.25">
      <c r="A334" s="38"/>
    </row>
    <row r="335" spans="1:3" ht="15" x14ac:dyDescent="0.25">
      <c r="A335" s="38"/>
    </row>
    <row r="336" spans="1:3" ht="15" x14ac:dyDescent="0.25">
      <c r="A336" s="38"/>
    </row>
    <row r="337" spans="1:1" ht="15" x14ac:dyDescent="0.25">
      <c r="A337" s="38"/>
    </row>
    <row r="338" spans="1:1" ht="15" x14ac:dyDescent="0.25">
      <c r="A338" s="38"/>
    </row>
    <row r="339" spans="1:1" ht="15" x14ac:dyDescent="0.25">
      <c r="A339" s="38"/>
    </row>
    <row r="340" spans="1:1" ht="15" x14ac:dyDescent="0.25">
      <c r="A340" s="38"/>
    </row>
  </sheetData>
  <sheetProtection algorithmName="SHA-512" hashValue="t95m1SeQv7G64Tv6wxqiR81EYzFYKJ0iZ8EDfLhIPeEq87HBmKLsLyO/EonPckDFeHEEiISanDHo5f+wYaaXnA==" saltValue="ap+YQpouiSmMt6Y5wQ8/WQ==" spinCount="100000" sheet="1" selectLockedCells="1"/>
  <mergeCells count="48">
    <mergeCell ref="I2:K2"/>
    <mergeCell ref="L2:N2"/>
    <mergeCell ref="L3:N3"/>
    <mergeCell ref="I3:K3"/>
    <mergeCell ref="A9:B10"/>
    <mergeCell ref="C9:C10"/>
    <mergeCell ref="D9:D10"/>
    <mergeCell ref="E9:E10"/>
    <mergeCell ref="F9:F10"/>
    <mergeCell ref="L7:N7"/>
    <mergeCell ref="I4:K4"/>
    <mergeCell ref="L4:N4"/>
    <mergeCell ref="L5:N5"/>
    <mergeCell ref="I5:K5"/>
    <mergeCell ref="I6:K6"/>
    <mergeCell ref="L6:N6"/>
    <mergeCell ref="G43:I43"/>
    <mergeCell ref="Q9:Q10"/>
    <mergeCell ref="R9:R10"/>
    <mergeCell ref="S9:S10"/>
    <mergeCell ref="H9:H10"/>
    <mergeCell ref="I9:I10"/>
    <mergeCell ref="J9:J10"/>
    <mergeCell ref="K9:K10"/>
    <mergeCell ref="L9:L10"/>
    <mergeCell ref="N42:P42"/>
    <mergeCell ref="G9:G10"/>
    <mergeCell ref="M9:M10"/>
    <mergeCell ref="N9:O9"/>
    <mergeCell ref="P9:P10"/>
    <mergeCell ref="E40:G40"/>
    <mergeCell ref="E41:G41"/>
    <mergeCell ref="G45:I45"/>
    <mergeCell ref="L42:M42"/>
    <mergeCell ref="N43:P43"/>
    <mergeCell ref="C8:R8"/>
    <mergeCell ref="C1:L1"/>
    <mergeCell ref="C2:D2"/>
    <mergeCell ref="C4:D4"/>
    <mergeCell ref="C6:D6"/>
    <mergeCell ref="E2:H2"/>
    <mergeCell ref="E4:H4"/>
    <mergeCell ref="E6:H6"/>
    <mergeCell ref="E3:H3"/>
    <mergeCell ref="E5:H5"/>
    <mergeCell ref="E7:H7"/>
    <mergeCell ref="G42:I42"/>
    <mergeCell ref="G44:I44"/>
  </mergeCells>
  <dataValidations count="1">
    <dataValidation type="decimal" allowBlank="1" showInputMessage="1" showErrorMessage="1" errorTitle="Алдаа" error="Зөвхөн тоо оруулна уу!!!" sqref="D11:R36">
      <formula1>-9.99999999999999E+25</formula1>
      <formula2>9.99999999999999E+29</formula2>
    </dataValidation>
  </dataValidations>
  <pageMargins left="0.25" right="0.25" top="0.75" bottom="0.75" header="0.3" footer="0.3"/>
  <pageSetup paperSize="9" scale="77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B306"/>
  <sheetViews>
    <sheetView showGridLines="0" topLeftCell="A7" workbookViewId="0">
      <selection activeCell="C29" sqref="C29:N29"/>
    </sheetView>
  </sheetViews>
  <sheetFormatPr defaultRowHeight="15" x14ac:dyDescent="0.25"/>
  <cols>
    <col min="1" max="1" width="6.7109375" style="25" customWidth="1"/>
    <col min="2" max="2" width="4.85546875" style="25" customWidth="1"/>
    <col min="3" max="3" width="23" style="25" customWidth="1"/>
    <col min="4" max="4" width="10" style="25" customWidth="1"/>
    <col min="5" max="9" width="9.140625" style="25"/>
    <col min="10" max="12" width="10.7109375" style="25" customWidth="1"/>
    <col min="13" max="13" width="18.42578125" style="25" customWidth="1"/>
    <col min="14" max="14" width="21" style="25" customWidth="1"/>
    <col min="15" max="26" width="9.140625" style="25"/>
    <col min="27" max="28" width="0" style="25" hidden="1" customWidth="1"/>
    <col min="29" max="16384" width="9.140625" style="25"/>
  </cols>
  <sheetData>
    <row r="1" spans="1:28" s="8" customFormat="1" ht="99" customHeight="1" x14ac:dyDescent="0.25">
      <c r="B1" s="9"/>
      <c r="C1" s="168" t="s">
        <v>219</v>
      </c>
      <c r="D1" s="168"/>
      <c r="E1" s="168"/>
      <c r="F1" s="168"/>
      <c r="G1" s="168"/>
      <c r="H1" s="168"/>
      <c r="I1" s="168"/>
      <c r="J1" s="168"/>
      <c r="K1" s="168"/>
      <c r="L1" s="11"/>
      <c r="N1" s="12" t="s">
        <v>226</v>
      </c>
      <c r="AA1" s="25"/>
      <c r="AB1" s="8">
        <v>21</v>
      </c>
    </row>
    <row r="2" spans="1:28" x14ac:dyDescent="0.25">
      <c r="AB2" s="25">
        <v>27</v>
      </c>
    </row>
    <row r="3" spans="1:28" x14ac:dyDescent="0.25">
      <c r="B3" s="132" t="s">
        <v>8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30"/>
    </row>
    <row r="4" spans="1:28" ht="9.75" customHeight="1" x14ac:dyDescent="0.25">
      <c r="B4" s="100"/>
      <c r="C4" s="100"/>
      <c r="D4" s="100"/>
      <c r="E4" s="141" t="s">
        <v>230</v>
      </c>
      <c r="F4" s="141"/>
      <c r="G4" s="141"/>
      <c r="H4" s="142"/>
      <c r="I4" s="142"/>
      <c r="J4" s="142"/>
      <c r="K4" s="141"/>
      <c r="L4" s="141"/>
      <c r="M4" s="141"/>
      <c r="N4" s="30"/>
    </row>
    <row r="5" spans="1:28" x14ac:dyDescent="0.25">
      <c r="B5" s="132" t="s">
        <v>225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30"/>
    </row>
    <row r="6" spans="1:28" ht="9.75" customHeight="1" x14ac:dyDescent="0.25">
      <c r="B6" s="100"/>
      <c r="C6" s="100"/>
      <c r="D6" s="100"/>
      <c r="E6" s="141" t="s">
        <v>231</v>
      </c>
      <c r="F6" s="141"/>
      <c r="G6" s="141"/>
      <c r="H6" s="142"/>
      <c r="I6" s="142"/>
      <c r="J6" s="142"/>
      <c r="K6" s="141"/>
      <c r="L6" s="141"/>
      <c r="M6" s="141"/>
      <c r="N6" s="30"/>
    </row>
    <row r="7" spans="1:28" x14ac:dyDescent="0.25">
      <c r="B7" s="132" t="s">
        <v>222</v>
      </c>
      <c r="C7" s="132"/>
      <c r="D7" s="132"/>
      <c r="E7" s="132"/>
      <c r="F7" s="132"/>
      <c r="G7" s="132"/>
      <c r="H7" s="142"/>
      <c r="I7" s="142"/>
      <c r="J7" s="142"/>
      <c r="K7" s="142"/>
      <c r="L7" s="142"/>
      <c r="M7" s="142"/>
      <c r="N7" s="30"/>
    </row>
    <row r="8" spans="1:28" ht="9.75" customHeight="1" x14ac:dyDescent="0.25">
      <c r="B8" s="30"/>
      <c r="C8" s="30"/>
      <c r="D8" s="30"/>
      <c r="E8" s="141" t="s">
        <v>232</v>
      </c>
      <c r="F8" s="141"/>
      <c r="G8" s="141"/>
      <c r="H8" s="142"/>
      <c r="I8" s="142"/>
      <c r="J8" s="142"/>
      <c r="K8" s="141"/>
      <c r="L8" s="141"/>
      <c r="M8" s="141"/>
      <c r="N8" s="30"/>
    </row>
    <row r="9" spans="1:28" ht="18" x14ac:dyDescent="0.25">
      <c r="A9" s="169" t="s">
        <v>197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</row>
    <row r="11" spans="1:28" ht="18" customHeight="1" x14ac:dyDescent="0.25">
      <c r="B11" s="167" t="s">
        <v>100</v>
      </c>
      <c r="C11" s="167"/>
      <c r="D11" s="167"/>
    </row>
    <row r="12" spans="1:28" ht="17.25" customHeight="1" x14ac:dyDescent="0.25">
      <c r="B12" s="153" t="s">
        <v>0</v>
      </c>
      <c r="C12" s="153" t="s">
        <v>203</v>
      </c>
      <c r="D12" s="136" t="s">
        <v>101</v>
      </c>
      <c r="E12" s="137"/>
      <c r="F12" s="137"/>
      <c r="G12" s="137"/>
      <c r="H12" s="137"/>
      <c r="I12" s="138"/>
      <c r="J12" s="160" t="s">
        <v>107</v>
      </c>
      <c r="K12" s="156" t="s">
        <v>108</v>
      </c>
      <c r="L12" s="157"/>
      <c r="M12" s="160" t="s">
        <v>109</v>
      </c>
      <c r="N12" s="160" t="s">
        <v>110</v>
      </c>
    </row>
    <row r="13" spans="1:28" x14ac:dyDescent="0.25">
      <c r="B13" s="154"/>
      <c r="C13" s="154"/>
      <c r="D13" s="136" t="s">
        <v>102</v>
      </c>
      <c r="E13" s="137"/>
      <c r="F13" s="138"/>
      <c r="G13" s="136" t="s">
        <v>103</v>
      </c>
      <c r="H13" s="137"/>
      <c r="I13" s="138"/>
      <c r="J13" s="161"/>
      <c r="K13" s="163"/>
      <c r="L13" s="164"/>
      <c r="M13" s="161"/>
      <c r="N13" s="161"/>
    </row>
    <row r="14" spans="1:28" x14ac:dyDescent="0.25">
      <c r="A14" s="13"/>
      <c r="B14" s="155"/>
      <c r="C14" s="155"/>
      <c r="D14" s="40" t="s">
        <v>104</v>
      </c>
      <c r="E14" s="40" t="s">
        <v>105</v>
      </c>
      <c r="F14" s="40" t="s">
        <v>106</v>
      </c>
      <c r="G14" s="40" t="s">
        <v>104</v>
      </c>
      <c r="H14" s="40" t="s">
        <v>105</v>
      </c>
      <c r="I14" s="40" t="s">
        <v>106</v>
      </c>
      <c r="J14" s="162"/>
      <c r="K14" s="158"/>
      <c r="L14" s="159"/>
      <c r="M14" s="162"/>
      <c r="N14" s="162"/>
    </row>
    <row r="15" spans="1:28" x14ac:dyDescent="0.25">
      <c r="A15" s="13"/>
      <c r="B15" s="6">
        <f ca="1">OFFSET($B15,-1,0,1,1)+1</f>
        <v>1</v>
      </c>
      <c r="C15" s="41"/>
      <c r="D15" s="23"/>
      <c r="E15" s="23"/>
      <c r="F15" s="23"/>
      <c r="G15" s="23"/>
      <c r="H15" s="23"/>
      <c r="I15" s="23"/>
      <c r="J15" s="23"/>
      <c r="K15" s="124"/>
      <c r="L15" s="125"/>
      <c r="M15" s="23"/>
      <c r="N15" s="23"/>
    </row>
    <row r="16" spans="1:28" x14ac:dyDescent="0.25">
      <c r="B16" s="24"/>
      <c r="C16" s="24" t="s">
        <v>111</v>
      </c>
      <c r="D16" s="2"/>
      <c r="E16" s="3"/>
      <c r="F16" s="3"/>
      <c r="G16" s="3"/>
      <c r="H16" s="3"/>
      <c r="I16" s="5"/>
      <c r="J16" s="6">
        <f ca="1">SUM(INDIRECT("j15:J"&amp;ROW()-1))</f>
        <v>0</v>
      </c>
      <c r="K16" s="165"/>
      <c r="L16" s="166"/>
      <c r="M16" s="6"/>
      <c r="N16" s="6"/>
    </row>
    <row r="17" spans="2:19" x14ac:dyDescent="0.25">
      <c r="C17" s="7"/>
    </row>
    <row r="18" spans="2:19" ht="22.5" customHeight="1" x14ac:dyDescent="0.25">
      <c r="B18" s="167" t="s">
        <v>25</v>
      </c>
      <c r="C18" s="167"/>
      <c r="Q18" s="42"/>
      <c r="R18" s="42"/>
      <c r="S18" s="42"/>
    </row>
    <row r="19" spans="2:19" ht="16.5" customHeight="1" x14ac:dyDescent="0.25">
      <c r="B19" s="153" t="s">
        <v>0</v>
      </c>
      <c r="C19" s="153" t="s">
        <v>112</v>
      </c>
      <c r="D19" s="136" t="s">
        <v>101</v>
      </c>
      <c r="E19" s="137"/>
      <c r="F19" s="137"/>
      <c r="G19" s="137"/>
      <c r="H19" s="137"/>
      <c r="I19" s="138"/>
      <c r="J19" s="160" t="s">
        <v>114</v>
      </c>
      <c r="K19" s="156" t="s">
        <v>116</v>
      </c>
      <c r="L19" s="157"/>
      <c r="M19" s="160" t="s">
        <v>109</v>
      </c>
      <c r="N19" s="160" t="s">
        <v>110</v>
      </c>
      <c r="Q19" s="42"/>
      <c r="R19" s="42"/>
      <c r="S19" s="42"/>
    </row>
    <row r="20" spans="2:19" x14ac:dyDescent="0.25">
      <c r="B20" s="154"/>
      <c r="C20" s="154"/>
      <c r="D20" s="136" t="s">
        <v>102</v>
      </c>
      <c r="E20" s="137"/>
      <c r="F20" s="138"/>
      <c r="G20" s="136" t="s">
        <v>103</v>
      </c>
      <c r="H20" s="137"/>
      <c r="I20" s="138"/>
      <c r="J20" s="161"/>
      <c r="K20" s="158"/>
      <c r="L20" s="159"/>
      <c r="M20" s="161"/>
      <c r="N20" s="161"/>
      <c r="Q20" s="42"/>
      <c r="R20" s="43"/>
      <c r="S20" s="42"/>
    </row>
    <row r="21" spans="2:19" x14ac:dyDescent="0.25">
      <c r="B21" s="155"/>
      <c r="C21" s="155"/>
      <c r="D21" s="40" t="s">
        <v>104</v>
      </c>
      <c r="E21" s="40" t="s">
        <v>105</v>
      </c>
      <c r="F21" s="40" t="s">
        <v>106</v>
      </c>
      <c r="G21" s="40" t="s">
        <v>104</v>
      </c>
      <c r="H21" s="40" t="s">
        <v>105</v>
      </c>
      <c r="I21" s="40" t="s">
        <v>106</v>
      </c>
      <c r="J21" s="162"/>
      <c r="K21" s="40" t="s">
        <v>117</v>
      </c>
      <c r="L21" s="40" t="s">
        <v>118</v>
      </c>
      <c r="M21" s="162"/>
      <c r="N21" s="162"/>
      <c r="Q21" s="42"/>
      <c r="R21" s="42"/>
      <c r="S21" s="42"/>
    </row>
    <row r="22" spans="2:19" x14ac:dyDescent="0.25">
      <c r="B22" s="6">
        <f ca="1">OFFSET($B22,-1,0,1,1)+1</f>
        <v>1</v>
      </c>
      <c r="C22" s="41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Q22" s="42"/>
      <c r="R22" s="42"/>
      <c r="S22" s="42"/>
    </row>
    <row r="23" spans="2:19" x14ac:dyDescent="0.25">
      <c r="B23" s="24"/>
      <c r="C23" s="24" t="s">
        <v>111</v>
      </c>
      <c r="D23" s="2"/>
      <c r="E23" s="3"/>
      <c r="F23" s="3"/>
      <c r="G23" s="3"/>
      <c r="H23" s="3"/>
      <c r="I23" s="5"/>
      <c r="J23" s="6">
        <f ca="1">SUM(INDIRECT("J"&amp;AB1&amp;":J"&amp;ROW()-1))</f>
        <v>0</v>
      </c>
      <c r="K23" s="6">
        <f ca="1">SUM(INDIRECT("K"&amp;AB1&amp;":K"&amp;ROW()-1))</f>
        <v>0</v>
      </c>
      <c r="L23" s="6">
        <f ca="1">SUM(INDIRECT("L"&amp;AB1&amp;":L"&amp;ROW()-1))</f>
        <v>0</v>
      </c>
      <c r="M23" s="6"/>
      <c r="N23" s="6"/>
      <c r="Q23" s="42"/>
      <c r="R23" s="42"/>
      <c r="S23" s="42"/>
    </row>
    <row r="24" spans="2:19" x14ac:dyDescent="0.25">
      <c r="B24" s="44"/>
      <c r="C24" s="44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Q24" s="42"/>
      <c r="R24" s="42"/>
      <c r="S24" s="42"/>
    </row>
    <row r="25" spans="2:19" ht="20.25" customHeight="1" x14ac:dyDescent="0.25">
      <c r="B25" s="167" t="s">
        <v>28</v>
      </c>
      <c r="C25" s="167"/>
    </row>
    <row r="26" spans="2:19" ht="22.5" customHeight="1" x14ac:dyDescent="0.25">
      <c r="B26" s="153" t="s">
        <v>0</v>
      </c>
      <c r="C26" s="153" t="s">
        <v>113</v>
      </c>
      <c r="D26" s="136" t="s">
        <v>101</v>
      </c>
      <c r="E26" s="137"/>
      <c r="F26" s="137"/>
      <c r="G26" s="137"/>
      <c r="H26" s="137"/>
      <c r="I26" s="138"/>
      <c r="J26" s="160" t="s">
        <v>115</v>
      </c>
      <c r="K26" s="156" t="s">
        <v>119</v>
      </c>
      <c r="L26" s="157"/>
      <c r="M26" s="160" t="s">
        <v>120</v>
      </c>
      <c r="N26" s="160" t="s">
        <v>110</v>
      </c>
    </row>
    <row r="27" spans="2:19" x14ac:dyDescent="0.25">
      <c r="B27" s="154"/>
      <c r="C27" s="154"/>
      <c r="D27" s="136" t="s">
        <v>102</v>
      </c>
      <c r="E27" s="137"/>
      <c r="F27" s="138"/>
      <c r="G27" s="136" t="s">
        <v>103</v>
      </c>
      <c r="H27" s="137"/>
      <c r="I27" s="138"/>
      <c r="J27" s="161"/>
      <c r="K27" s="163"/>
      <c r="L27" s="164"/>
      <c r="M27" s="161"/>
      <c r="N27" s="161"/>
    </row>
    <row r="28" spans="2:19" x14ac:dyDescent="0.25">
      <c r="B28" s="155"/>
      <c r="C28" s="155"/>
      <c r="D28" s="40" t="s">
        <v>104</v>
      </c>
      <c r="E28" s="40" t="s">
        <v>105</v>
      </c>
      <c r="F28" s="40" t="s">
        <v>106</v>
      </c>
      <c r="G28" s="40" t="s">
        <v>104</v>
      </c>
      <c r="H28" s="40" t="s">
        <v>105</v>
      </c>
      <c r="I28" s="40" t="s">
        <v>106</v>
      </c>
      <c r="J28" s="162"/>
      <c r="K28" s="158"/>
      <c r="L28" s="159"/>
      <c r="M28" s="162"/>
      <c r="N28" s="162"/>
    </row>
    <row r="29" spans="2:19" x14ac:dyDescent="0.25">
      <c r="B29" s="6">
        <f ca="1">OFFSET($B29,-1,0,1,1)+1</f>
        <v>1</v>
      </c>
      <c r="C29" s="41"/>
      <c r="D29" s="23"/>
      <c r="E29" s="23"/>
      <c r="F29" s="23"/>
      <c r="G29" s="23"/>
      <c r="H29" s="23"/>
      <c r="I29" s="23"/>
      <c r="J29" s="23"/>
      <c r="K29" s="124"/>
      <c r="L29" s="125"/>
      <c r="M29" s="23"/>
      <c r="N29" s="23"/>
    </row>
    <row r="30" spans="2:19" x14ac:dyDescent="0.25">
      <c r="B30" s="24"/>
      <c r="C30" s="24" t="s">
        <v>111</v>
      </c>
      <c r="D30" s="2"/>
      <c r="E30" s="3"/>
      <c r="F30" s="3"/>
      <c r="G30" s="3"/>
      <c r="H30" s="3"/>
      <c r="I30" s="5"/>
      <c r="J30" s="6">
        <f ca="1">SUM(INDIRECT("J"&amp;AB2&amp;":J"&amp;ROW()-1))</f>
        <v>0</v>
      </c>
      <c r="K30" s="136">
        <f ca="1">SUM(INDIRECT("K"&amp;AB2&amp;":K"&amp;ROW()-1))</f>
        <v>0</v>
      </c>
      <c r="L30" s="138"/>
      <c r="M30" s="6"/>
      <c r="N30" s="6"/>
    </row>
    <row r="31" spans="2:19" x14ac:dyDescent="0.25">
      <c r="B31" s="44"/>
      <c r="C31" s="44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</row>
    <row r="32" spans="2:19" x14ac:dyDescent="0.25">
      <c r="C32" s="132" t="s">
        <v>55</v>
      </c>
      <c r="D32" s="132"/>
      <c r="E32" s="130"/>
      <c r="F32" s="130"/>
      <c r="G32" s="130"/>
    </row>
    <row r="33" spans="3:9" ht="11.25" customHeight="1" x14ac:dyDescent="0.25">
      <c r="C33" s="92"/>
      <c r="D33" s="30"/>
      <c r="E33" s="141" t="s">
        <v>233</v>
      </c>
      <c r="F33" s="141"/>
      <c r="G33" s="141"/>
    </row>
    <row r="34" spans="3:9" x14ac:dyDescent="0.25">
      <c r="C34" s="92" t="s">
        <v>56</v>
      </c>
      <c r="D34" s="92" t="s">
        <v>57</v>
      </c>
      <c r="E34" s="130"/>
      <c r="F34" s="130"/>
      <c r="G34" s="130"/>
      <c r="H34" s="7"/>
      <c r="I34" s="7"/>
    </row>
    <row r="35" spans="3:9" ht="11.25" customHeight="1" x14ac:dyDescent="0.25">
      <c r="C35" s="92"/>
      <c r="D35" s="92"/>
      <c r="E35" s="126" t="s">
        <v>227</v>
      </c>
      <c r="F35" s="126"/>
      <c r="G35" s="126"/>
      <c r="H35" s="7"/>
      <c r="I35" s="7"/>
    </row>
    <row r="36" spans="3:9" x14ac:dyDescent="0.25">
      <c r="C36" s="92"/>
      <c r="D36" s="92" t="s">
        <v>58</v>
      </c>
      <c r="E36" s="130"/>
      <c r="F36" s="130"/>
      <c r="G36" s="130"/>
      <c r="H36" s="7"/>
      <c r="I36" s="7"/>
    </row>
    <row r="37" spans="3:9" ht="11.25" customHeight="1" x14ac:dyDescent="0.25">
      <c r="C37" s="92"/>
      <c r="D37" s="92"/>
      <c r="E37" s="126" t="s">
        <v>228</v>
      </c>
      <c r="F37" s="126"/>
      <c r="G37" s="126"/>
      <c r="H37" s="7"/>
      <c r="I37" s="7"/>
    </row>
    <row r="38" spans="3:9" x14ac:dyDescent="0.25">
      <c r="C38" s="7"/>
    </row>
    <row r="39" spans="3:9" x14ac:dyDescent="0.25">
      <c r="C39" s="7"/>
    </row>
    <row r="40" spans="3:9" x14ac:dyDescent="0.25">
      <c r="C40" s="95" t="s">
        <v>240</v>
      </c>
    </row>
    <row r="41" spans="3:9" x14ac:dyDescent="0.25">
      <c r="C41" s="7"/>
    </row>
    <row r="42" spans="3:9" x14ac:dyDescent="0.25">
      <c r="C42" s="7"/>
    </row>
    <row r="43" spans="3:9" x14ac:dyDescent="0.25">
      <c r="C43" s="7"/>
    </row>
    <row r="44" spans="3:9" x14ac:dyDescent="0.25">
      <c r="C44" s="7"/>
    </row>
    <row r="45" spans="3:9" x14ac:dyDescent="0.25">
      <c r="C45" s="7"/>
    </row>
    <row r="46" spans="3:9" x14ac:dyDescent="0.25">
      <c r="C46" s="7"/>
    </row>
    <row r="47" spans="3:9" x14ac:dyDescent="0.25">
      <c r="C47" s="7"/>
    </row>
    <row r="48" spans="3:9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  <row r="290" spans="3:3" x14ac:dyDescent="0.25">
      <c r="C290" s="7"/>
    </row>
    <row r="291" spans="3:3" x14ac:dyDescent="0.25">
      <c r="C291" s="7"/>
    </row>
    <row r="292" spans="3:3" x14ac:dyDescent="0.25">
      <c r="C292" s="7"/>
    </row>
    <row r="293" spans="3:3" x14ac:dyDescent="0.25">
      <c r="C293" s="7"/>
    </row>
    <row r="294" spans="3:3" x14ac:dyDescent="0.25">
      <c r="C294" s="7"/>
    </row>
    <row r="295" spans="3:3" x14ac:dyDescent="0.25">
      <c r="C295" s="7"/>
    </row>
    <row r="296" spans="3:3" x14ac:dyDescent="0.25">
      <c r="C296" s="7"/>
    </row>
    <row r="297" spans="3:3" x14ac:dyDescent="0.25">
      <c r="C297" s="7"/>
    </row>
    <row r="298" spans="3:3" x14ac:dyDescent="0.25">
      <c r="C298" s="7"/>
    </row>
    <row r="299" spans="3:3" x14ac:dyDescent="0.25">
      <c r="C299" s="7"/>
    </row>
    <row r="300" spans="3:3" x14ac:dyDescent="0.25">
      <c r="C300" s="7"/>
    </row>
    <row r="301" spans="3:3" x14ac:dyDescent="0.25">
      <c r="C301" s="7"/>
    </row>
    <row r="302" spans="3:3" x14ac:dyDescent="0.25">
      <c r="C302" s="7"/>
    </row>
    <row r="303" spans="3:3" x14ac:dyDescent="0.25">
      <c r="C303" s="7"/>
    </row>
    <row r="304" spans="3:3" x14ac:dyDescent="0.25">
      <c r="C304" s="7"/>
    </row>
    <row r="305" spans="3:3" x14ac:dyDescent="0.25">
      <c r="C305" s="7"/>
    </row>
    <row r="306" spans="3:3" x14ac:dyDescent="0.25">
      <c r="C306" s="7"/>
    </row>
  </sheetData>
  <sheetProtection algorithmName="SHA-512" hashValue="/ZBE36ZmrhFR9dy4zZucmitEk6zdUn4WEpM4sZQKR5DaVtmWAPUsKu2bErkugz0p3r/diglYJbgsrAC7TmKn5Q==" saltValue="ffbtaZ6+/aaMnuKo9K/7vA==" spinCount="100000" sheet="1" objects="1" scenarios="1" selectLockedCells="1"/>
  <mergeCells count="64">
    <mergeCell ref="H6:J6"/>
    <mergeCell ref="H7:J7"/>
    <mergeCell ref="H8:J8"/>
    <mergeCell ref="K5:M5"/>
    <mergeCell ref="K6:M6"/>
    <mergeCell ref="K7:M7"/>
    <mergeCell ref="K8:M8"/>
    <mergeCell ref="C1:K1"/>
    <mergeCell ref="B3:D3"/>
    <mergeCell ref="B5:D5"/>
    <mergeCell ref="B7:D7"/>
    <mergeCell ref="A9:N9"/>
    <mergeCell ref="E3:G3"/>
    <mergeCell ref="E5:G5"/>
    <mergeCell ref="E7:G7"/>
    <mergeCell ref="E4:G4"/>
    <mergeCell ref="E6:G6"/>
    <mergeCell ref="E8:G8"/>
    <mergeCell ref="H3:J3"/>
    <mergeCell ref="K3:M3"/>
    <mergeCell ref="K4:M4"/>
    <mergeCell ref="H4:J4"/>
    <mergeCell ref="H5:J5"/>
    <mergeCell ref="B11:D11"/>
    <mergeCell ref="B18:C18"/>
    <mergeCell ref="B25:C25"/>
    <mergeCell ref="D12:I12"/>
    <mergeCell ref="D19:I19"/>
    <mergeCell ref="B12:B14"/>
    <mergeCell ref="C12:C14"/>
    <mergeCell ref="B19:B21"/>
    <mergeCell ref="C19:C21"/>
    <mergeCell ref="D13:F13"/>
    <mergeCell ref="G13:I13"/>
    <mergeCell ref="G20:I20"/>
    <mergeCell ref="D20:F20"/>
    <mergeCell ref="M26:M28"/>
    <mergeCell ref="N26:N28"/>
    <mergeCell ref="K16:L16"/>
    <mergeCell ref="J26:J28"/>
    <mergeCell ref="K26:L28"/>
    <mergeCell ref="M12:M14"/>
    <mergeCell ref="N12:N14"/>
    <mergeCell ref="J19:J21"/>
    <mergeCell ref="M19:M21"/>
    <mergeCell ref="J12:J14"/>
    <mergeCell ref="K12:L14"/>
    <mergeCell ref="N19:N21"/>
    <mergeCell ref="C32:D32"/>
    <mergeCell ref="D27:F27"/>
    <mergeCell ref="G27:I27"/>
    <mergeCell ref="D26:I26"/>
    <mergeCell ref="E33:G33"/>
    <mergeCell ref="B26:B28"/>
    <mergeCell ref="C26:C28"/>
    <mergeCell ref="K30:L30"/>
    <mergeCell ref="K19:L20"/>
    <mergeCell ref="K29:L29"/>
    <mergeCell ref="E37:G37"/>
    <mergeCell ref="E32:G32"/>
    <mergeCell ref="E34:G34"/>
    <mergeCell ref="E36:G36"/>
    <mergeCell ref="K15:L15"/>
    <mergeCell ref="E35:G35"/>
  </mergeCells>
  <dataValidations count="1">
    <dataValidation type="decimal" allowBlank="1" showInputMessage="1" showErrorMessage="1" errorTitle="Алдаа!!!" error="Зөвхөн тоо оруулана уу." sqref="D15:J15 D22:L22 D29:L29">
      <formula1>-9.99999999999999E+28</formula1>
      <formula2>9.99999999999999E+29</formula2>
    </dataValidation>
  </dataValidations>
  <pageMargins left="0.7" right="0.7" top="0.75" bottom="0.75" header="0.3" footer="0.3"/>
  <pageSetup scale="5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orep3_add_main_row">
                <anchor moveWithCells="1" sizeWithCells="1">
                  <from>
                    <xdr:col>0</xdr:col>
                    <xdr:colOff>133350</xdr:colOff>
                    <xdr:row>14</xdr:row>
                    <xdr:rowOff>38100</xdr:rowOff>
                  </from>
                  <to>
                    <xdr:col>0</xdr:col>
                    <xdr:colOff>323850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orep3_add_main_row2">
                <anchor moveWithCells="1" sizeWithCells="1">
                  <from>
                    <xdr:col>0</xdr:col>
                    <xdr:colOff>133350</xdr:colOff>
                    <xdr:row>21</xdr:row>
                    <xdr:rowOff>38100</xdr:rowOff>
                  </from>
                  <to>
                    <xdr:col>0</xdr:col>
                    <xdr:colOff>323850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georep3_add_main_row3">
                <anchor moveWithCells="1" sizeWithCells="1">
                  <from>
                    <xdr:col>0</xdr:col>
                    <xdr:colOff>133350</xdr:colOff>
                    <xdr:row>28</xdr:row>
                    <xdr:rowOff>38100</xdr:rowOff>
                  </from>
                  <to>
                    <xdr:col>0</xdr:col>
                    <xdr:colOff>323850</xdr:colOff>
                    <xdr:row>28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B1:L289"/>
  <sheetViews>
    <sheetView showGridLines="0" zoomScaleNormal="100" workbookViewId="0">
      <selection activeCell="C12" sqref="C12"/>
    </sheetView>
  </sheetViews>
  <sheetFormatPr defaultRowHeight="14.25" x14ac:dyDescent="0.25"/>
  <cols>
    <col min="1" max="1" width="6.7109375" style="13" customWidth="1"/>
    <col min="2" max="2" width="5" style="13" customWidth="1"/>
    <col min="3" max="3" width="31.140625" style="13" customWidth="1"/>
    <col min="4" max="4" width="16.140625" style="13" customWidth="1"/>
    <col min="5" max="5" width="20.140625" style="13" customWidth="1"/>
    <col min="6" max="6" width="27.140625" style="13" customWidth="1"/>
    <col min="7" max="7" width="20.85546875" style="13" customWidth="1"/>
    <col min="8" max="8" width="20.5703125" style="13" customWidth="1"/>
    <col min="9" max="26" width="9.140625" style="13"/>
    <col min="27" max="28" width="0" style="13" hidden="1" customWidth="1"/>
    <col min="29" max="16384" width="9.140625" style="13"/>
  </cols>
  <sheetData>
    <row r="1" spans="2:12" s="8" customFormat="1" ht="99" customHeight="1" x14ac:dyDescent="0.2">
      <c r="B1" s="9"/>
      <c r="C1" s="145" t="s">
        <v>219</v>
      </c>
      <c r="D1" s="145"/>
      <c r="E1" s="145"/>
      <c r="F1" s="145"/>
      <c r="G1" s="145"/>
      <c r="H1" s="12" t="s">
        <v>121</v>
      </c>
      <c r="I1" s="11"/>
      <c r="J1" s="11"/>
      <c r="K1" s="11"/>
      <c r="L1" s="11"/>
    </row>
    <row r="3" spans="2:12" s="7" customFormat="1" x14ac:dyDescent="0.25">
      <c r="B3" s="132" t="s">
        <v>8</v>
      </c>
      <c r="C3" s="132"/>
      <c r="D3" s="140"/>
      <c r="E3" s="140"/>
      <c r="G3" s="132"/>
      <c r="H3" s="132"/>
    </row>
    <row r="4" spans="2:12" s="7" customFormat="1" ht="9" customHeight="1" x14ac:dyDescent="0.25">
      <c r="D4" s="126" t="s">
        <v>230</v>
      </c>
      <c r="E4" s="126"/>
      <c r="G4" s="126"/>
      <c r="H4" s="126"/>
    </row>
    <row r="5" spans="2:12" s="7" customFormat="1" x14ac:dyDescent="0.25">
      <c r="B5" s="132" t="s">
        <v>225</v>
      </c>
      <c r="C5" s="132"/>
      <c r="D5" s="140"/>
      <c r="E5" s="140"/>
      <c r="G5" s="132"/>
      <c r="H5" s="132"/>
    </row>
    <row r="6" spans="2:12" s="7" customFormat="1" ht="9" customHeight="1" x14ac:dyDescent="0.25">
      <c r="D6" s="126" t="s">
        <v>231</v>
      </c>
      <c r="E6" s="126"/>
      <c r="G6" s="126"/>
      <c r="H6" s="126"/>
    </row>
    <row r="7" spans="2:12" s="7" customFormat="1" x14ac:dyDescent="0.25">
      <c r="B7" s="132" t="s">
        <v>10</v>
      </c>
      <c r="C7" s="132"/>
      <c r="D7" s="140"/>
      <c r="E7" s="140"/>
      <c r="G7" s="132"/>
      <c r="H7" s="132"/>
    </row>
    <row r="8" spans="2:12" s="7" customFormat="1" ht="9" customHeight="1" x14ac:dyDescent="0.25">
      <c r="D8" s="126" t="s">
        <v>232</v>
      </c>
      <c r="E8" s="126"/>
      <c r="G8" s="126"/>
      <c r="H8" s="126"/>
    </row>
    <row r="9" spans="2:12" ht="18" x14ac:dyDescent="0.25">
      <c r="B9" s="169" t="s">
        <v>202</v>
      </c>
      <c r="C9" s="169"/>
      <c r="D9" s="169"/>
      <c r="E9" s="169"/>
      <c r="F9" s="169"/>
      <c r="G9" s="169"/>
      <c r="H9" s="169"/>
    </row>
    <row r="10" spans="2:12" ht="30" customHeight="1" x14ac:dyDescent="0.25"/>
    <row r="11" spans="2:12" ht="45" x14ac:dyDescent="0.25">
      <c r="B11" s="19" t="s">
        <v>0</v>
      </c>
      <c r="C11" s="14" t="s">
        <v>122</v>
      </c>
      <c r="D11" s="15" t="s">
        <v>123</v>
      </c>
      <c r="E11" s="15" t="s">
        <v>124</v>
      </c>
      <c r="F11" s="15" t="s">
        <v>125</v>
      </c>
      <c r="G11" s="15" t="s">
        <v>126</v>
      </c>
      <c r="H11" s="15" t="s">
        <v>127</v>
      </c>
    </row>
    <row r="12" spans="2:12" ht="15" x14ac:dyDescent="0.25">
      <c r="B12" s="6">
        <f ca="1">OFFSET($B11,-1,0,1,1)+1</f>
        <v>1</v>
      </c>
      <c r="C12" s="45"/>
      <c r="D12" s="46"/>
      <c r="E12" s="46"/>
      <c r="F12" s="46"/>
      <c r="G12" s="46"/>
      <c r="H12" s="46"/>
    </row>
    <row r="13" spans="2:12" ht="15" x14ac:dyDescent="0.25">
      <c r="B13" s="6"/>
      <c r="C13" s="47" t="s">
        <v>111</v>
      </c>
      <c r="D13" s="6"/>
      <c r="E13" s="6"/>
      <c r="F13" s="6"/>
      <c r="G13" s="6"/>
      <c r="H13" s="6"/>
    </row>
    <row r="14" spans="2:12" x14ac:dyDescent="0.25">
      <c r="C14" s="7"/>
    </row>
    <row r="15" spans="2:12" x14ac:dyDescent="0.25">
      <c r="C15" s="7" t="s">
        <v>55</v>
      </c>
      <c r="D15" s="130"/>
      <c r="E15" s="130"/>
    </row>
    <row r="16" spans="2:12" ht="6.75" customHeight="1" x14ac:dyDescent="0.25">
      <c r="C16" s="7"/>
      <c r="D16" s="126" t="s">
        <v>233</v>
      </c>
      <c r="E16" s="126"/>
    </row>
    <row r="17" spans="3:5" x14ac:dyDescent="0.25">
      <c r="C17" s="7" t="s">
        <v>56</v>
      </c>
      <c r="D17" s="7" t="s">
        <v>57</v>
      </c>
      <c r="E17" s="48"/>
    </row>
    <row r="18" spans="3:5" ht="6.75" customHeight="1" x14ac:dyDescent="0.25">
      <c r="C18" s="7"/>
      <c r="D18" s="7"/>
      <c r="E18" s="94" t="s">
        <v>227</v>
      </c>
    </row>
    <row r="19" spans="3:5" x14ac:dyDescent="0.25">
      <c r="C19" s="7"/>
      <c r="D19" s="7" t="s">
        <v>58</v>
      </c>
      <c r="E19" s="48"/>
    </row>
    <row r="20" spans="3:5" ht="6.75" customHeight="1" x14ac:dyDescent="0.25">
      <c r="C20" s="7"/>
      <c r="D20" s="7"/>
      <c r="E20" s="94" t="s">
        <v>228</v>
      </c>
    </row>
    <row r="21" spans="3:5" x14ac:dyDescent="0.25">
      <c r="C21" s="7"/>
    </row>
    <row r="22" spans="3:5" x14ac:dyDescent="0.25">
      <c r="C22" s="7"/>
    </row>
    <row r="23" spans="3:5" x14ac:dyDescent="0.25">
      <c r="C23" s="95" t="s">
        <v>240</v>
      </c>
    </row>
    <row r="24" spans="3:5" x14ac:dyDescent="0.25">
      <c r="C24" s="7"/>
    </row>
    <row r="25" spans="3:5" x14ac:dyDescent="0.25">
      <c r="C25" s="7"/>
    </row>
    <row r="26" spans="3:5" x14ac:dyDescent="0.25">
      <c r="C26" s="7"/>
    </row>
    <row r="27" spans="3:5" x14ac:dyDescent="0.25">
      <c r="C27" s="7"/>
    </row>
    <row r="28" spans="3:5" x14ac:dyDescent="0.25">
      <c r="C28" s="7"/>
    </row>
    <row r="29" spans="3:5" x14ac:dyDescent="0.25">
      <c r="C29" s="7"/>
    </row>
    <row r="30" spans="3:5" x14ac:dyDescent="0.25">
      <c r="C30" s="7"/>
    </row>
    <row r="31" spans="3:5" x14ac:dyDescent="0.25">
      <c r="C31" s="7"/>
    </row>
    <row r="32" spans="3:5" x14ac:dyDescent="0.25">
      <c r="C32" s="7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</sheetData>
  <sheetProtection algorithmName="SHA-512" hashValue="+JQQJh2/bC+u6+REdeKsmEJp1/l+3HFaoc04fKlV/0JKjOvhOTnFVs2M/QnbAOx8QHuVjjRIqM6tdmGOOs0pQw==" saltValue="KDVUoI8bZvrL3fWNtv8pww==" spinCount="100000" sheet="1" selectLockedCells="1"/>
  <mergeCells count="19">
    <mergeCell ref="C1:G1"/>
    <mergeCell ref="D3:E3"/>
    <mergeCell ref="D5:E5"/>
    <mergeCell ref="D7:E7"/>
    <mergeCell ref="D4:E4"/>
    <mergeCell ref="D6:E6"/>
    <mergeCell ref="G3:H3"/>
    <mergeCell ref="G4:H4"/>
    <mergeCell ref="G6:H6"/>
    <mergeCell ref="G7:H7"/>
    <mergeCell ref="G5:H5"/>
    <mergeCell ref="D15:E15"/>
    <mergeCell ref="D16:E16"/>
    <mergeCell ref="B3:C3"/>
    <mergeCell ref="B5:C5"/>
    <mergeCell ref="B7:C7"/>
    <mergeCell ref="B9:H9"/>
    <mergeCell ref="D8:E8"/>
    <mergeCell ref="G8:H8"/>
  </mergeCells>
  <dataValidations disablePrompts="1" count="1">
    <dataValidation type="decimal" allowBlank="1" showInputMessage="1" showErrorMessage="1" errorTitle="Алдаа" error="Зөвхөн тоо оруулна уу!!!" sqref="D12">
      <formula1>0</formula1>
      <formula2>9.99999999999999E+25</formula2>
    </dataValidation>
  </dataValidations>
  <pageMargins left="0.25" right="0.25" top="0.75" bottom="0.75" header="0.3" footer="0.3"/>
  <pageSetup paperSize="9" scale="9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georep4_add_main_row">
                <anchor moveWithCells="1" sizeWithCells="1">
                  <from>
                    <xdr:col>0</xdr:col>
                    <xdr:colOff>133350</xdr:colOff>
                    <xdr:row>11</xdr:row>
                    <xdr:rowOff>28575</xdr:rowOff>
                  </from>
                  <to>
                    <xdr:col>0</xdr:col>
                    <xdr:colOff>323850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A299"/>
  <sheetViews>
    <sheetView showGridLines="0" workbookViewId="0">
      <selection activeCell="C20" sqref="C20"/>
    </sheetView>
  </sheetViews>
  <sheetFormatPr defaultRowHeight="15" x14ac:dyDescent="0.25"/>
  <cols>
    <col min="1" max="1" width="6.7109375" style="25" customWidth="1"/>
    <col min="2" max="2" width="4.85546875" style="25" customWidth="1"/>
    <col min="3" max="3" width="23.85546875" style="25" customWidth="1"/>
    <col min="4" max="4" width="20.42578125" style="25" customWidth="1"/>
    <col min="5" max="5" width="11.140625" style="25" customWidth="1"/>
    <col min="6" max="15" width="9.140625" style="25"/>
    <col min="16" max="16" width="13.85546875" style="25" customWidth="1"/>
    <col min="17" max="17" width="27.28515625" style="25" customWidth="1"/>
    <col min="18" max="26" width="9.140625" style="25"/>
    <col min="27" max="28" width="0" style="25" hidden="1" customWidth="1"/>
    <col min="29" max="16384" width="9.140625" style="25"/>
  </cols>
  <sheetData>
    <row r="1" spans="1:27" s="8" customFormat="1" ht="99" customHeight="1" x14ac:dyDescent="0.25">
      <c r="B1" s="9"/>
      <c r="C1" s="168" t="s">
        <v>219</v>
      </c>
      <c r="D1" s="168"/>
      <c r="E1" s="168"/>
      <c r="F1" s="168"/>
      <c r="G1" s="168"/>
      <c r="H1" s="168"/>
      <c r="I1" s="168"/>
      <c r="J1" s="168"/>
      <c r="K1" s="168"/>
      <c r="L1" s="11"/>
      <c r="Q1" s="12" t="s">
        <v>135</v>
      </c>
      <c r="AA1" s="25"/>
    </row>
    <row r="3" spans="1:27" x14ac:dyDescent="0.25">
      <c r="B3" s="132" t="s">
        <v>8</v>
      </c>
      <c r="C3" s="132"/>
      <c r="D3" s="142"/>
      <c r="E3" s="142"/>
      <c r="F3" s="132"/>
      <c r="G3" s="132"/>
      <c r="H3" s="132"/>
      <c r="I3" s="132"/>
      <c r="J3" s="132"/>
      <c r="K3" s="132"/>
      <c r="L3" s="39"/>
      <c r="M3" s="39"/>
      <c r="P3" s="7"/>
    </row>
    <row r="4" spans="1:27" ht="9" customHeight="1" x14ac:dyDescent="0.25">
      <c r="B4" s="30"/>
      <c r="C4" s="30"/>
      <c r="D4" s="141" t="s">
        <v>230</v>
      </c>
      <c r="E4" s="141"/>
      <c r="F4" s="142"/>
      <c r="G4" s="142"/>
      <c r="H4" s="142"/>
      <c r="I4" s="126"/>
      <c r="J4" s="126"/>
      <c r="K4" s="126"/>
      <c r="P4" s="7"/>
    </row>
    <row r="5" spans="1:27" x14ac:dyDescent="0.25">
      <c r="B5" s="132" t="s">
        <v>9</v>
      </c>
      <c r="C5" s="132"/>
      <c r="D5" s="142"/>
      <c r="E5" s="142"/>
      <c r="F5" s="132"/>
      <c r="G5" s="132"/>
      <c r="H5" s="132"/>
      <c r="I5" s="132"/>
      <c r="J5" s="132"/>
      <c r="K5" s="132"/>
      <c r="L5" s="39"/>
      <c r="M5" s="39"/>
      <c r="P5" s="7"/>
    </row>
    <row r="6" spans="1:27" ht="9" customHeight="1" x14ac:dyDescent="0.25">
      <c r="B6" s="30"/>
      <c r="C6" s="30"/>
      <c r="D6" s="141" t="s">
        <v>231</v>
      </c>
      <c r="E6" s="141"/>
      <c r="F6" s="142"/>
      <c r="G6" s="142"/>
      <c r="H6" s="142"/>
      <c r="I6" s="141"/>
      <c r="J6" s="141"/>
      <c r="K6" s="141"/>
      <c r="P6" s="7"/>
    </row>
    <row r="7" spans="1:27" x14ac:dyDescent="0.25">
      <c r="B7" s="132" t="s">
        <v>10</v>
      </c>
      <c r="C7" s="132"/>
      <c r="D7" s="142"/>
      <c r="E7" s="142"/>
      <c r="F7" s="142"/>
      <c r="G7" s="142"/>
      <c r="H7" s="142"/>
      <c r="I7" s="132"/>
      <c r="J7" s="132"/>
      <c r="K7" s="132"/>
      <c r="P7" s="7"/>
    </row>
    <row r="8" spans="1:27" ht="9" customHeight="1" x14ac:dyDescent="0.25">
      <c r="B8" s="30"/>
      <c r="C8" s="30"/>
      <c r="D8" s="141" t="s">
        <v>232</v>
      </c>
      <c r="E8" s="141"/>
      <c r="F8" s="142"/>
      <c r="G8" s="142"/>
      <c r="H8" s="142"/>
      <c r="I8" s="126"/>
      <c r="J8" s="126"/>
      <c r="K8" s="126"/>
      <c r="P8" s="7"/>
    </row>
    <row r="9" spans="1:27" ht="18" x14ac:dyDescent="0.25">
      <c r="A9" s="169" t="s">
        <v>247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</row>
    <row r="10" spans="1:27" x14ac:dyDescent="0.25">
      <c r="B10" s="7"/>
    </row>
    <row r="11" spans="1:27" ht="45" x14ac:dyDescent="0.25">
      <c r="B11" s="15" t="s">
        <v>0</v>
      </c>
      <c r="C11" s="15" t="s">
        <v>129</v>
      </c>
      <c r="D11" s="15" t="s">
        <v>130</v>
      </c>
      <c r="E11" s="133" t="s">
        <v>128</v>
      </c>
      <c r="F11" s="176"/>
      <c r="G11" s="176"/>
      <c r="H11" s="176"/>
      <c r="I11" s="176"/>
      <c r="J11" s="176"/>
      <c r="K11" s="176"/>
      <c r="L11" s="134"/>
      <c r="M11" s="133" t="s">
        <v>198</v>
      </c>
      <c r="N11" s="176"/>
      <c r="O11" s="134"/>
      <c r="P11" s="15" t="s">
        <v>200</v>
      </c>
      <c r="Q11" s="15" t="s">
        <v>201</v>
      </c>
    </row>
    <row r="12" spans="1:27" x14ac:dyDescent="0.25">
      <c r="B12" s="177" t="s">
        <v>134</v>
      </c>
      <c r="C12" s="178"/>
      <c r="D12" s="179"/>
      <c r="E12" s="136" t="s">
        <v>102</v>
      </c>
      <c r="F12" s="137"/>
      <c r="G12" s="138"/>
      <c r="H12" s="136" t="s">
        <v>103</v>
      </c>
      <c r="I12" s="137"/>
      <c r="J12" s="138"/>
      <c r="K12" s="136" t="s">
        <v>131</v>
      </c>
      <c r="L12" s="138"/>
      <c r="M12" s="40" t="s">
        <v>117</v>
      </c>
      <c r="N12" s="40" t="s">
        <v>199</v>
      </c>
      <c r="O12" s="40" t="s">
        <v>118</v>
      </c>
      <c r="P12" s="15"/>
      <c r="Q12" s="15"/>
    </row>
    <row r="13" spans="1:27" x14ac:dyDescent="0.25">
      <c r="B13" s="180"/>
      <c r="C13" s="181"/>
      <c r="D13" s="182"/>
      <c r="E13" s="40" t="s">
        <v>104</v>
      </c>
      <c r="F13" s="40" t="s">
        <v>105</v>
      </c>
      <c r="G13" s="40" t="s">
        <v>106</v>
      </c>
      <c r="H13" s="40" t="s">
        <v>104</v>
      </c>
      <c r="I13" s="40" t="s">
        <v>105</v>
      </c>
      <c r="J13" s="40" t="s">
        <v>106</v>
      </c>
      <c r="K13" s="40" t="s">
        <v>132</v>
      </c>
      <c r="L13" s="40" t="s">
        <v>133</v>
      </c>
      <c r="M13" s="49"/>
      <c r="N13" s="50"/>
      <c r="O13" s="51"/>
      <c r="P13" s="51"/>
      <c r="Q13" s="52"/>
    </row>
    <row r="14" spans="1:27" x14ac:dyDescent="0.25">
      <c r="B14" s="6">
        <f ca="1">OFFSET($B14,-1,0,1,1)+1</f>
        <v>1</v>
      </c>
      <c r="C14" s="41"/>
      <c r="D14" s="41"/>
      <c r="E14" s="23"/>
      <c r="F14" s="23"/>
      <c r="G14" s="23"/>
      <c r="H14" s="23"/>
      <c r="I14" s="23"/>
      <c r="J14" s="23"/>
      <c r="K14" s="23"/>
      <c r="L14" s="23"/>
      <c r="M14" s="53"/>
      <c r="N14" s="54"/>
      <c r="O14" s="54"/>
      <c r="P14" s="54"/>
      <c r="Q14" s="54"/>
      <c r="R14" s="123"/>
      <c r="S14" s="42"/>
    </row>
    <row r="15" spans="1:27" x14ac:dyDescent="0.25">
      <c r="B15" s="177" t="s">
        <v>136</v>
      </c>
      <c r="C15" s="178"/>
      <c r="D15" s="179"/>
      <c r="E15" s="136" t="s">
        <v>102</v>
      </c>
      <c r="F15" s="137"/>
      <c r="G15" s="138"/>
      <c r="H15" s="136" t="s">
        <v>103</v>
      </c>
      <c r="I15" s="137"/>
      <c r="J15" s="138"/>
      <c r="K15" s="136" t="s">
        <v>131</v>
      </c>
      <c r="L15" s="138"/>
      <c r="M15" s="55"/>
      <c r="N15" s="56"/>
      <c r="O15" s="56"/>
      <c r="P15" s="56"/>
      <c r="Q15" s="57"/>
    </row>
    <row r="16" spans="1:27" x14ac:dyDescent="0.25">
      <c r="B16" s="180"/>
      <c r="C16" s="181"/>
      <c r="D16" s="182"/>
      <c r="E16" s="40" t="s">
        <v>104</v>
      </c>
      <c r="F16" s="40" t="s">
        <v>105</v>
      </c>
      <c r="G16" s="40" t="s">
        <v>106</v>
      </c>
      <c r="H16" s="40" t="s">
        <v>104</v>
      </c>
      <c r="I16" s="40" t="s">
        <v>105</v>
      </c>
      <c r="J16" s="40" t="s">
        <v>106</v>
      </c>
      <c r="K16" s="40" t="s">
        <v>132</v>
      </c>
      <c r="L16" s="58" t="s">
        <v>133</v>
      </c>
      <c r="M16" s="59"/>
      <c r="N16" s="60"/>
      <c r="O16" s="60"/>
      <c r="P16" s="61"/>
      <c r="Q16" s="62"/>
    </row>
    <row r="17" spans="2:17" x14ac:dyDescent="0.25">
      <c r="B17" s="6">
        <f ca="1">OFFSET($B17,-1,0,1,1)+1</f>
        <v>1</v>
      </c>
      <c r="C17" s="41"/>
      <c r="D17" s="41"/>
      <c r="E17" s="23"/>
      <c r="F17" s="23"/>
      <c r="G17" s="23"/>
      <c r="H17" s="23"/>
      <c r="I17" s="23"/>
      <c r="J17" s="23"/>
      <c r="K17" s="23"/>
      <c r="L17" s="23"/>
      <c r="M17" s="63"/>
      <c r="N17" s="64"/>
      <c r="O17" s="64"/>
      <c r="P17" s="64"/>
      <c r="Q17" s="64"/>
    </row>
    <row r="18" spans="2:17" x14ac:dyDescent="0.25">
      <c r="B18" s="170" t="s">
        <v>137</v>
      </c>
      <c r="C18" s="171"/>
      <c r="D18" s="172"/>
      <c r="E18" s="6" t="s">
        <v>102</v>
      </c>
      <c r="F18" s="6"/>
      <c r="G18" s="6"/>
      <c r="H18" s="6" t="s">
        <v>103</v>
      </c>
      <c r="I18" s="6"/>
      <c r="J18" s="6"/>
      <c r="K18" s="2" t="s">
        <v>131</v>
      </c>
      <c r="L18" s="5"/>
      <c r="M18" s="55"/>
      <c r="N18" s="56"/>
      <c r="O18" s="56"/>
      <c r="P18" s="56"/>
      <c r="Q18" s="57"/>
    </row>
    <row r="19" spans="2:17" x14ac:dyDescent="0.25">
      <c r="B19" s="173"/>
      <c r="C19" s="174"/>
      <c r="D19" s="175"/>
      <c r="E19" s="40" t="s">
        <v>104</v>
      </c>
      <c r="F19" s="40" t="s">
        <v>105</v>
      </c>
      <c r="G19" s="40" t="s">
        <v>106</v>
      </c>
      <c r="H19" s="40" t="s">
        <v>104</v>
      </c>
      <c r="I19" s="40" t="s">
        <v>105</v>
      </c>
      <c r="J19" s="40" t="s">
        <v>106</v>
      </c>
      <c r="K19" s="40" t="s">
        <v>132</v>
      </c>
      <c r="L19" s="40" t="s">
        <v>133</v>
      </c>
      <c r="M19" s="59"/>
      <c r="N19" s="60"/>
      <c r="O19" s="60"/>
      <c r="P19" s="61"/>
      <c r="Q19" s="62"/>
    </row>
    <row r="20" spans="2:17" x14ac:dyDescent="0.25">
      <c r="B20" s="6">
        <f ca="1">OFFSET($B20,-1,0,1,1)+1</f>
        <v>1</v>
      </c>
      <c r="C20" s="41"/>
      <c r="D20" s="41"/>
      <c r="E20" s="23"/>
      <c r="F20" s="23"/>
      <c r="G20" s="23"/>
      <c r="H20" s="23"/>
      <c r="I20" s="23"/>
      <c r="J20" s="23"/>
      <c r="K20" s="23"/>
      <c r="L20" s="23"/>
      <c r="M20" s="65"/>
      <c r="N20" s="23"/>
      <c r="O20" s="23"/>
      <c r="P20" s="23"/>
      <c r="Q20" s="23"/>
    </row>
    <row r="21" spans="2:17" x14ac:dyDescent="0.25">
      <c r="B21" s="170" t="s">
        <v>138</v>
      </c>
      <c r="C21" s="171"/>
      <c r="D21" s="172"/>
      <c r="E21" s="136" t="s">
        <v>102</v>
      </c>
      <c r="F21" s="137"/>
      <c r="G21" s="138"/>
      <c r="H21" s="136" t="s">
        <v>103</v>
      </c>
      <c r="I21" s="137"/>
      <c r="J21" s="138"/>
      <c r="K21" s="136" t="s">
        <v>131</v>
      </c>
      <c r="L21" s="138"/>
      <c r="M21" s="55"/>
      <c r="N21" s="56"/>
      <c r="O21" s="56"/>
      <c r="P21" s="56"/>
      <c r="Q21" s="57"/>
    </row>
    <row r="22" spans="2:17" x14ac:dyDescent="0.25">
      <c r="B22" s="173"/>
      <c r="C22" s="174"/>
      <c r="D22" s="175"/>
      <c r="E22" s="40" t="s">
        <v>104</v>
      </c>
      <c r="F22" s="40" t="s">
        <v>105</v>
      </c>
      <c r="G22" s="40" t="s">
        <v>106</v>
      </c>
      <c r="H22" s="40" t="s">
        <v>104</v>
      </c>
      <c r="I22" s="40" t="s">
        <v>105</v>
      </c>
      <c r="J22" s="40" t="s">
        <v>106</v>
      </c>
      <c r="K22" s="40" t="s">
        <v>132</v>
      </c>
      <c r="L22" s="40" t="s">
        <v>133</v>
      </c>
      <c r="M22" s="59"/>
      <c r="N22" s="60"/>
      <c r="O22" s="60"/>
      <c r="P22" s="61"/>
      <c r="Q22" s="62"/>
    </row>
    <row r="23" spans="2:17" x14ac:dyDescent="0.25">
      <c r="B23" s="6">
        <f ca="1">OFFSET($B23,-1,0,1,1)+1</f>
        <v>1</v>
      </c>
      <c r="C23" s="41"/>
      <c r="D23" s="41"/>
      <c r="E23" s="23"/>
      <c r="F23" s="23"/>
      <c r="G23" s="23"/>
      <c r="H23" s="23"/>
      <c r="I23" s="23"/>
      <c r="J23" s="23"/>
      <c r="K23" s="23"/>
      <c r="L23" s="23"/>
      <c r="M23" s="65"/>
      <c r="N23" s="23"/>
      <c r="O23" s="23"/>
      <c r="P23" s="23"/>
      <c r="Q23" s="23"/>
    </row>
    <row r="24" spans="2:17" x14ac:dyDescent="0.25">
      <c r="B24" s="44"/>
      <c r="C24" s="44"/>
      <c r="D24" s="44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</row>
    <row r="25" spans="2:17" x14ac:dyDescent="0.25">
      <c r="C25" s="132" t="s">
        <v>55</v>
      </c>
      <c r="D25" s="132"/>
      <c r="E25" s="130"/>
      <c r="F25" s="130"/>
      <c r="G25" s="130"/>
      <c r="H25" s="130"/>
    </row>
    <row r="26" spans="2:17" ht="9" customHeight="1" x14ac:dyDescent="0.25">
      <c r="C26" s="92"/>
      <c r="D26" s="92"/>
      <c r="E26" s="141" t="s">
        <v>233</v>
      </c>
      <c r="F26" s="141"/>
      <c r="G26" s="141"/>
      <c r="H26" s="141"/>
    </row>
    <row r="27" spans="2:17" x14ac:dyDescent="0.25">
      <c r="C27" s="92" t="s">
        <v>56</v>
      </c>
      <c r="D27" s="92"/>
      <c r="E27" s="92" t="s">
        <v>57</v>
      </c>
      <c r="F27" s="130"/>
      <c r="G27" s="130"/>
      <c r="H27" s="130"/>
      <c r="I27" s="7"/>
      <c r="J27" s="7"/>
      <c r="K27" s="7"/>
      <c r="L27" s="7"/>
    </row>
    <row r="28" spans="2:17" ht="9" customHeight="1" x14ac:dyDescent="0.25">
      <c r="C28" s="92"/>
      <c r="D28" s="92"/>
      <c r="E28" s="92"/>
      <c r="F28" s="126" t="s">
        <v>227</v>
      </c>
      <c r="G28" s="126"/>
      <c r="H28" s="126"/>
      <c r="I28" s="7"/>
      <c r="J28" s="7"/>
      <c r="K28" s="7"/>
      <c r="L28" s="7"/>
    </row>
    <row r="29" spans="2:17" x14ac:dyDescent="0.25">
      <c r="C29" s="92"/>
      <c r="D29" s="92"/>
      <c r="E29" s="92" t="s">
        <v>58</v>
      </c>
      <c r="F29" s="130"/>
      <c r="G29" s="130"/>
      <c r="H29" s="130"/>
      <c r="I29" s="7"/>
      <c r="J29" s="7"/>
      <c r="K29" s="7"/>
      <c r="L29" s="7"/>
    </row>
    <row r="30" spans="2:17" ht="9" customHeight="1" x14ac:dyDescent="0.25">
      <c r="C30" s="92"/>
      <c r="D30" s="92"/>
      <c r="E30" s="92"/>
      <c r="F30" s="126" t="s">
        <v>228</v>
      </c>
      <c r="G30" s="126"/>
      <c r="H30" s="126"/>
      <c r="I30" s="7"/>
      <c r="J30" s="7"/>
      <c r="K30" s="7"/>
      <c r="L30" s="7"/>
    </row>
    <row r="31" spans="2:17" x14ac:dyDescent="0.25">
      <c r="C31" s="7"/>
      <c r="D31" s="7"/>
    </row>
    <row r="32" spans="2:17" x14ac:dyDescent="0.25">
      <c r="C32" s="7"/>
      <c r="D32" s="7"/>
    </row>
    <row r="33" spans="3:4" x14ac:dyDescent="0.25">
      <c r="C33" s="95" t="s">
        <v>240</v>
      </c>
      <c r="D33" s="7"/>
    </row>
    <row r="34" spans="3:4" x14ac:dyDescent="0.25">
      <c r="C34" s="7"/>
      <c r="D34" s="7"/>
    </row>
    <row r="35" spans="3:4" x14ac:dyDescent="0.25">
      <c r="C35" s="7"/>
      <c r="D35" s="7"/>
    </row>
    <row r="36" spans="3:4" x14ac:dyDescent="0.25">
      <c r="C36" s="7"/>
      <c r="D36" s="7"/>
    </row>
    <row r="37" spans="3:4" x14ac:dyDescent="0.25">
      <c r="C37" s="7"/>
      <c r="D37" s="7"/>
    </row>
    <row r="38" spans="3:4" x14ac:dyDescent="0.25">
      <c r="C38" s="7"/>
      <c r="D38" s="7"/>
    </row>
    <row r="39" spans="3:4" x14ac:dyDescent="0.25">
      <c r="C39" s="7"/>
      <c r="D39" s="7"/>
    </row>
    <row r="40" spans="3:4" x14ac:dyDescent="0.25">
      <c r="C40" s="7"/>
      <c r="D40" s="7"/>
    </row>
    <row r="41" spans="3:4" x14ac:dyDescent="0.25">
      <c r="C41" s="7"/>
      <c r="D41" s="7"/>
    </row>
    <row r="42" spans="3:4" x14ac:dyDescent="0.25">
      <c r="C42" s="7"/>
      <c r="D42" s="7"/>
    </row>
    <row r="43" spans="3:4" x14ac:dyDescent="0.25">
      <c r="C43" s="7"/>
      <c r="D43" s="7"/>
    </row>
    <row r="44" spans="3:4" x14ac:dyDescent="0.25">
      <c r="C44" s="7"/>
      <c r="D44" s="7"/>
    </row>
    <row r="45" spans="3:4" x14ac:dyDescent="0.25">
      <c r="C45" s="7"/>
      <c r="D45" s="7"/>
    </row>
    <row r="46" spans="3:4" x14ac:dyDescent="0.25">
      <c r="C46" s="7"/>
      <c r="D46" s="7"/>
    </row>
    <row r="47" spans="3:4" x14ac:dyDescent="0.25">
      <c r="C47" s="7"/>
      <c r="D47" s="7"/>
    </row>
    <row r="48" spans="3:4" x14ac:dyDescent="0.25">
      <c r="C48" s="7"/>
      <c r="D48" s="7"/>
    </row>
    <row r="49" spans="3:4" x14ac:dyDescent="0.25">
      <c r="C49" s="7"/>
      <c r="D49" s="7"/>
    </row>
    <row r="50" spans="3:4" x14ac:dyDescent="0.25">
      <c r="C50" s="7"/>
      <c r="D50" s="7"/>
    </row>
    <row r="51" spans="3:4" x14ac:dyDescent="0.25">
      <c r="C51" s="7"/>
      <c r="D51" s="7"/>
    </row>
    <row r="52" spans="3:4" x14ac:dyDescent="0.25">
      <c r="C52" s="7"/>
      <c r="D52" s="7"/>
    </row>
    <row r="53" spans="3:4" x14ac:dyDescent="0.25">
      <c r="C53" s="7"/>
      <c r="D53" s="7"/>
    </row>
    <row r="54" spans="3:4" x14ac:dyDescent="0.25">
      <c r="C54" s="7"/>
      <c r="D54" s="7"/>
    </row>
    <row r="55" spans="3:4" x14ac:dyDescent="0.25">
      <c r="C55" s="7"/>
      <c r="D55" s="7"/>
    </row>
    <row r="56" spans="3:4" x14ac:dyDescent="0.25">
      <c r="C56" s="7"/>
      <c r="D56" s="7"/>
    </row>
    <row r="57" spans="3:4" x14ac:dyDescent="0.25">
      <c r="C57" s="7"/>
      <c r="D57" s="7"/>
    </row>
    <row r="58" spans="3:4" x14ac:dyDescent="0.25">
      <c r="C58" s="7"/>
      <c r="D58" s="7"/>
    </row>
    <row r="59" spans="3:4" x14ac:dyDescent="0.25">
      <c r="C59" s="7"/>
      <c r="D59" s="7"/>
    </row>
    <row r="60" spans="3:4" x14ac:dyDescent="0.25">
      <c r="C60" s="7"/>
      <c r="D60" s="7"/>
    </row>
    <row r="61" spans="3:4" x14ac:dyDescent="0.25">
      <c r="C61" s="7"/>
      <c r="D61" s="7"/>
    </row>
    <row r="62" spans="3:4" x14ac:dyDescent="0.25">
      <c r="C62" s="7"/>
      <c r="D62" s="7"/>
    </row>
    <row r="63" spans="3:4" x14ac:dyDescent="0.25">
      <c r="C63" s="7"/>
      <c r="D63" s="7"/>
    </row>
    <row r="64" spans="3:4" x14ac:dyDescent="0.25">
      <c r="C64" s="7"/>
      <c r="D64" s="7"/>
    </row>
    <row r="65" spans="3:4" x14ac:dyDescent="0.25">
      <c r="C65" s="7"/>
      <c r="D65" s="7"/>
    </row>
    <row r="66" spans="3:4" x14ac:dyDescent="0.25">
      <c r="C66" s="7"/>
      <c r="D66" s="7"/>
    </row>
    <row r="67" spans="3:4" x14ac:dyDescent="0.25">
      <c r="C67" s="7"/>
      <c r="D67" s="7"/>
    </row>
    <row r="68" spans="3:4" x14ac:dyDescent="0.25">
      <c r="C68" s="7"/>
      <c r="D68" s="7"/>
    </row>
    <row r="69" spans="3:4" x14ac:dyDescent="0.25">
      <c r="C69" s="7"/>
      <c r="D69" s="7"/>
    </row>
    <row r="70" spans="3:4" x14ac:dyDescent="0.25">
      <c r="C70" s="7"/>
      <c r="D70" s="7"/>
    </row>
    <row r="71" spans="3:4" x14ac:dyDescent="0.25">
      <c r="C71" s="7"/>
      <c r="D71" s="7"/>
    </row>
    <row r="72" spans="3:4" x14ac:dyDescent="0.25">
      <c r="C72" s="7"/>
      <c r="D72" s="7"/>
    </row>
    <row r="73" spans="3:4" x14ac:dyDescent="0.25">
      <c r="C73" s="7"/>
      <c r="D73" s="7"/>
    </row>
    <row r="74" spans="3:4" x14ac:dyDescent="0.25">
      <c r="C74" s="7"/>
      <c r="D74" s="7"/>
    </row>
    <row r="75" spans="3:4" x14ac:dyDescent="0.25">
      <c r="C75" s="7"/>
      <c r="D75" s="7"/>
    </row>
    <row r="76" spans="3:4" x14ac:dyDescent="0.25">
      <c r="C76" s="7"/>
      <c r="D76" s="7"/>
    </row>
    <row r="77" spans="3:4" x14ac:dyDescent="0.25">
      <c r="C77" s="7"/>
      <c r="D77" s="7"/>
    </row>
    <row r="78" spans="3:4" x14ac:dyDescent="0.25">
      <c r="C78" s="7"/>
      <c r="D78" s="7"/>
    </row>
    <row r="79" spans="3:4" x14ac:dyDescent="0.25">
      <c r="C79" s="7"/>
      <c r="D79" s="7"/>
    </row>
    <row r="80" spans="3:4" x14ac:dyDescent="0.25">
      <c r="C80" s="7"/>
      <c r="D80" s="7"/>
    </row>
    <row r="81" spans="3:4" x14ac:dyDescent="0.25">
      <c r="C81" s="7"/>
      <c r="D81" s="7"/>
    </row>
    <row r="82" spans="3:4" x14ac:dyDescent="0.25">
      <c r="C82" s="7"/>
      <c r="D82" s="7"/>
    </row>
    <row r="83" spans="3:4" x14ac:dyDescent="0.25">
      <c r="C83" s="7"/>
      <c r="D83" s="7"/>
    </row>
    <row r="84" spans="3:4" x14ac:dyDescent="0.25">
      <c r="C84" s="7"/>
      <c r="D84" s="7"/>
    </row>
    <row r="85" spans="3:4" x14ac:dyDescent="0.25">
      <c r="C85" s="7"/>
      <c r="D85" s="7"/>
    </row>
    <row r="86" spans="3:4" x14ac:dyDescent="0.25">
      <c r="C86" s="7"/>
      <c r="D86" s="7"/>
    </row>
    <row r="87" spans="3:4" x14ac:dyDescent="0.25">
      <c r="C87" s="7"/>
      <c r="D87" s="7"/>
    </row>
    <row r="88" spans="3:4" x14ac:dyDescent="0.25">
      <c r="C88" s="7"/>
      <c r="D88" s="7"/>
    </row>
    <row r="89" spans="3:4" x14ac:dyDescent="0.25">
      <c r="C89" s="7"/>
      <c r="D89" s="7"/>
    </row>
    <row r="90" spans="3:4" x14ac:dyDescent="0.25">
      <c r="C90" s="7"/>
      <c r="D90" s="7"/>
    </row>
    <row r="91" spans="3:4" x14ac:dyDescent="0.25">
      <c r="C91" s="7"/>
      <c r="D91" s="7"/>
    </row>
    <row r="92" spans="3:4" x14ac:dyDescent="0.25">
      <c r="C92" s="7"/>
      <c r="D92" s="7"/>
    </row>
    <row r="93" spans="3:4" x14ac:dyDescent="0.25">
      <c r="C93" s="7"/>
      <c r="D93" s="7"/>
    </row>
    <row r="94" spans="3:4" x14ac:dyDescent="0.25">
      <c r="C94" s="7"/>
      <c r="D94" s="7"/>
    </row>
    <row r="95" spans="3:4" x14ac:dyDescent="0.25">
      <c r="C95" s="7"/>
      <c r="D95" s="7"/>
    </row>
    <row r="96" spans="3:4" x14ac:dyDescent="0.25">
      <c r="C96" s="7"/>
      <c r="D96" s="7"/>
    </row>
    <row r="97" spans="3:4" x14ac:dyDescent="0.25">
      <c r="C97" s="7"/>
      <c r="D97" s="7"/>
    </row>
    <row r="98" spans="3:4" x14ac:dyDescent="0.25">
      <c r="C98" s="7"/>
      <c r="D98" s="7"/>
    </row>
    <row r="99" spans="3:4" x14ac:dyDescent="0.25">
      <c r="C99" s="7"/>
      <c r="D99" s="7"/>
    </row>
    <row r="100" spans="3:4" x14ac:dyDescent="0.25">
      <c r="C100" s="7"/>
      <c r="D100" s="7"/>
    </row>
    <row r="101" spans="3:4" x14ac:dyDescent="0.25">
      <c r="C101" s="7"/>
      <c r="D101" s="7"/>
    </row>
    <row r="102" spans="3:4" x14ac:dyDescent="0.25">
      <c r="C102" s="7"/>
      <c r="D102" s="7"/>
    </row>
    <row r="103" spans="3:4" x14ac:dyDescent="0.25">
      <c r="C103" s="7"/>
      <c r="D103" s="7"/>
    </row>
    <row r="104" spans="3:4" x14ac:dyDescent="0.25">
      <c r="C104" s="7"/>
      <c r="D104" s="7"/>
    </row>
    <row r="105" spans="3:4" x14ac:dyDescent="0.25">
      <c r="C105" s="7"/>
      <c r="D105" s="7"/>
    </row>
    <row r="106" spans="3:4" x14ac:dyDescent="0.25">
      <c r="C106" s="7"/>
      <c r="D106" s="7"/>
    </row>
    <row r="107" spans="3:4" x14ac:dyDescent="0.25">
      <c r="C107" s="7"/>
      <c r="D107" s="7"/>
    </row>
    <row r="108" spans="3:4" x14ac:dyDescent="0.25">
      <c r="C108" s="7"/>
      <c r="D108" s="7"/>
    </row>
    <row r="109" spans="3:4" x14ac:dyDescent="0.25">
      <c r="C109" s="7"/>
      <c r="D109" s="7"/>
    </row>
    <row r="110" spans="3:4" x14ac:dyDescent="0.25">
      <c r="C110" s="7"/>
      <c r="D110" s="7"/>
    </row>
    <row r="111" spans="3:4" x14ac:dyDescent="0.25">
      <c r="C111" s="7"/>
      <c r="D111" s="7"/>
    </row>
    <row r="112" spans="3:4" x14ac:dyDescent="0.25">
      <c r="C112" s="7"/>
      <c r="D112" s="7"/>
    </row>
    <row r="113" spans="3:4" x14ac:dyDescent="0.25">
      <c r="C113" s="7"/>
      <c r="D113" s="7"/>
    </row>
    <row r="114" spans="3:4" x14ac:dyDescent="0.25">
      <c r="C114" s="7"/>
      <c r="D114" s="7"/>
    </row>
    <row r="115" spans="3:4" x14ac:dyDescent="0.25">
      <c r="C115" s="7"/>
      <c r="D115" s="7"/>
    </row>
    <row r="116" spans="3:4" x14ac:dyDescent="0.25">
      <c r="C116" s="7"/>
      <c r="D116" s="7"/>
    </row>
    <row r="117" spans="3:4" x14ac:dyDescent="0.25">
      <c r="C117" s="7"/>
      <c r="D117" s="7"/>
    </row>
    <row r="118" spans="3:4" x14ac:dyDescent="0.25">
      <c r="C118" s="7"/>
      <c r="D118" s="7"/>
    </row>
    <row r="119" spans="3:4" x14ac:dyDescent="0.25">
      <c r="C119" s="7"/>
      <c r="D119" s="7"/>
    </row>
    <row r="120" spans="3:4" x14ac:dyDescent="0.25">
      <c r="C120" s="7"/>
      <c r="D120" s="7"/>
    </row>
    <row r="121" spans="3:4" x14ac:dyDescent="0.25">
      <c r="C121" s="7"/>
      <c r="D121" s="7"/>
    </row>
    <row r="122" spans="3:4" x14ac:dyDescent="0.25">
      <c r="C122" s="7"/>
      <c r="D122" s="7"/>
    </row>
    <row r="123" spans="3:4" x14ac:dyDescent="0.25">
      <c r="C123" s="7"/>
      <c r="D123" s="7"/>
    </row>
    <row r="124" spans="3:4" x14ac:dyDescent="0.25">
      <c r="C124" s="7"/>
      <c r="D124" s="7"/>
    </row>
    <row r="125" spans="3:4" x14ac:dyDescent="0.25">
      <c r="C125" s="7"/>
      <c r="D125" s="7"/>
    </row>
    <row r="126" spans="3:4" x14ac:dyDescent="0.25">
      <c r="C126" s="7"/>
      <c r="D126" s="7"/>
    </row>
    <row r="127" spans="3:4" x14ac:dyDescent="0.25">
      <c r="C127" s="7"/>
      <c r="D127" s="7"/>
    </row>
    <row r="128" spans="3:4" x14ac:dyDescent="0.25">
      <c r="C128" s="7"/>
      <c r="D128" s="7"/>
    </row>
    <row r="129" spans="3:4" x14ac:dyDescent="0.25">
      <c r="C129" s="7"/>
      <c r="D129" s="7"/>
    </row>
    <row r="130" spans="3:4" x14ac:dyDescent="0.25">
      <c r="C130" s="7"/>
      <c r="D130" s="7"/>
    </row>
    <row r="131" spans="3:4" x14ac:dyDescent="0.25">
      <c r="C131" s="7"/>
      <c r="D131" s="7"/>
    </row>
    <row r="132" spans="3:4" x14ac:dyDescent="0.25">
      <c r="C132" s="7"/>
      <c r="D132" s="7"/>
    </row>
    <row r="133" spans="3:4" x14ac:dyDescent="0.25">
      <c r="C133" s="7"/>
      <c r="D133" s="7"/>
    </row>
    <row r="134" spans="3:4" x14ac:dyDescent="0.25">
      <c r="C134" s="7"/>
      <c r="D134" s="7"/>
    </row>
    <row r="135" spans="3:4" x14ac:dyDescent="0.25">
      <c r="C135" s="7"/>
      <c r="D135" s="7"/>
    </row>
    <row r="136" spans="3:4" x14ac:dyDescent="0.25">
      <c r="C136" s="7"/>
      <c r="D136" s="7"/>
    </row>
    <row r="137" spans="3:4" x14ac:dyDescent="0.25">
      <c r="C137" s="7"/>
      <c r="D137" s="7"/>
    </row>
    <row r="138" spans="3:4" x14ac:dyDescent="0.25">
      <c r="C138" s="7"/>
      <c r="D138" s="7"/>
    </row>
    <row r="139" spans="3:4" x14ac:dyDescent="0.25">
      <c r="C139" s="7"/>
      <c r="D139" s="7"/>
    </row>
    <row r="140" spans="3:4" x14ac:dyDescent="0.25">
      <c r="C140" s="7"/>
      <c r="D140" s="7"/>
    </row>
    <row r="141" spans="3:4" x14ac:dyDescent="0.25">
      <c r="C141" s="7"/>
      <c r="D141" s="7"/>
    </row>
    <row r="142" spans="3:4" x14ac:dyDescent="0.25">
      <c r="C142" s="7"/>
      <c r="D142" s="7"/>
    </row>
    <row r="143" spans="3:4" x14ac:dyDescent="0.25">
      <c r="C143" s="7"/>
      <c r="D143" s="7"/>
    </row>
    <row r="144" spans="3:4" x14ac:dyDescent="0.25">
      <c r="C144" s="7"/>
      <c r="D144" s="7"/>
    </row>
    <row r="145" spans="3:4" x14ac:dyDescent="0.25">
      <c r="C145" s="7"/>
      <c r="D145" s="7"/>
    </row>
    <row r="146" spans="3:4" x14ac:dyDescent="0.25">
      <c r="C146" s="7"/>
      <c r="D146" s="7"/>
    </row>
    <row r="147" spans="3:4" x14ac:dyDescent="0.25">
      <c r="C147" s="7"/>
      <c r="D147" s="7"/>
    </row>
    <row r="148" spans="3:4" x14ac:dyDescent="0.25">
      <c r="C148" s="7"/>
      <c r="D148" s="7"/>
    </row>
    <row r="149" spans="3:4" x14ac:dyDescent="0.25">
      <c r="C149" s="7"/>
      <c r="D149" s="7"/>
    </row>
    <row r="150" spans="3:4" x14ac:dyDescent="0.25">
      <c r="C150" s="7"/>
      <c r="D150" s="7"/>
    </row>
    <row r="151" spans="3:4" x14ac:dyDescent="0.25">
      <c r="C151" s="7"/>
      <c r="D151" s="7"/>
    </row>
    <row r="152" spans="3:4" x14ac:dyDescent="0.25">
      <c r="C152" s="7"/>
      <c r="D152" s="7"/>
    </row>
    <row r="153" spans="3:4" x14ac:dyDescent="0.25">
      <c r="C153" s="7"/>
      <c r="D153" s="7"/>
    </row>
    <row r="154" spans="3:4" x14ac:dyDescent="0.25">
      <c r="C154" s="7"/>
      <c r="D154" s="7"/>
    </row>
    <row r="155" spans="3:4" x14ac:dyDescent="0.25">
      <c r="C155" s="7"/>
      <c r="D155" s="7"/>
    </row>
    <row r="156" spans="3:4" x14ac:dyDescent="0.25">
      <c r="C156" s="7"/>
      <c r="D156" s="7"/>
    </row>
    <row r="157" spans="3:4" x14ac:dyDescent="0.25">
      <c r="C157" s="7"/>
      <c r="D157" s="7"/>
    </row>
    <row r="158" spans="3:4" x14ac:dyDescent="0.25">
      <c r="C158" s="7"/>
      <c r="D158" s="7"/>
    </row>
    <row r="159" spans="3:4" x14ac:dyDescent="0.25">
      <c r="C159" s="7"/>
      <c r="D159" s="7"/>
    </row>
    <row r="160" spans="3:4" x14ac:dyDescent="0.25">
      <c r="C160" s="7"/>
      <c r="D160" s="7"/>
    </row>
    <row r="161" spans="3:4" x14ac:dyDescent="0.25">
      <c r="C161" s="7"/>
      <c r="D161" s="7"/>
    </row>
    <row r="162" spans="3:4" x14ac:dyDescent="0.25">
      <c r="C162" s="7"/>
      <c r="D162" s="7"/>
    </row>
    <row r="163" spans="3:4" x14ac:dyDescent="0.25">
      <c r="C163" s="7"/>
      <c r="D163" s="7"/>
    </row>
    <row r="164" spans="3:4" x14ac:dyDescent="0.25">
      <c r="C164" s="7"/>
      <c r="D164" s="7"/>
    </row>
    <row r="165" spans="3:4" x14ac:dyDescent="0.25">
      <c r="C165" s="7"/>
      <c r="D165" s="7"/>
    </row>
    <row r="166" spans="3:4" x14ac:dyDescent="0.25">
      <c r="C166" s="7"/>
      <c r="D166" s="7"/>
    </row>
    <row r="167" spans="3:4" x14ac:dyDescent="0.25">
      <c r="C167" s="7"/>
      <c r="D167" s="7"/>
    </row>
    <row r="168" spans="3:4" x14ac:dyDescent="0.25">
      <c r="C168" s="7"/>
      <c r="D168" s="7"/>
    </row>
    <row r="169" spans="3:4" x14ac:dyDescent="0.25">
      <c r="C169" s="7"/>
      <c r="D169" s="7"/>
    </row>
    <row r="170" spans="3:4" x14ac:dyDescent="0.25">
      <c r="C170" s="7"/>
      <c r="D170" s="7"/>
    </row>
    <row r="171" spans="3:4" x14ac:dyDescent="0.25">
      <c r="C171" s="7"/>
      <c r="D171" s="7"/>
    </row>
    <row r="172" spans="3:4" x14ac:dyDescent="0.25">
      <c r="C172" s="7"/>
      <c r="D172" s="7"/>
    </row>
    <row r="173" spans="3:4" x14ac:dyDescent="0.25">
      <c r="C173" s="7"/>
      <c r="D173" s="7"/>
    </row>
    <row r="174" spans="3:4" x14ac:dyDescent="0.25">
      <c r="C174" s="7"/>
      <c r="D174" s="7"/>
    </row>
    <row r="175" spans="3:4" x14ac:dyDescent="0.25">
      <c r="C175" s="7"/>
      <c r="D175" s="7"/>
    </row>
    <row r="176" spans="3:4" x14ac:dyDescent="0.25">
      <c r="C176" s="7"/>
      <c r="D176" s="7"/>
    </row>
    <row r="177" spans="3:4" x14ac:dyDescent="0.25">
      <c r="C177" s="7"/>
      <c r="D177" s="7"/>
    </row>
    <row r="178" spans="3:4" x14ac:dyDescent="0.25">
      <c r="C178" s="7"/>
      <c r="D178" s="7"/>
    </row>
    <row r="179" spans="3:4" x14ac:dyDescent="0.25">
      <c r="C179" s="7"/>
      <c r="D179" s="7"/>
    </row>
    <row r="180" spans="3:4" x14ac:dyDescent="0.25">
      <c r="C180" s="7"/>
      <c r="D180" s="7"/>
    </row>
    <row r="181" spans="3:4" x14ac:dyDescent="0.25">
      <c r="C181" s="7"/>
      <c r="D181" s="7"/>
    </row>
    <row r="182" spans="3:4" x14ac:dyDescent="0.25">
      <c r="C182" s="7"/>
      <c r="D182" s="7"/>
    </row>
    <row r="183" spans="3:4" x14ac:dyDescent="0.25">
      <c r="C183" s="7"/>
      <c r="D183" s="7"/>
    </row>
    <row r="184" spans="3:4" x14ac:dyDescent="0.25">
      <c r="C184" s="7"/>
      <c r="D184" s="7"/>
    </row>
    <row r="185" spans="3:4" x14ac:dyDescent="0.25">
      <c r="C185" s="7"/>
      <c r="D185" s="7"/>
    </row>
    <row r="186" spans="3:4" x14ac:dyDescent="0.25">
      <c r="C186" s="7"/>
      <c r="D186" s="7"/>
    </row>
    <row r="187" spans="3:4" x14ac:dyDescent="0.25">
      <c r="C187" s="7"/>
      <c r="D187" s="7"/>
    </row>
    <row r="188" spans="3:4" x14ac:dyDescent="0.25">
      <c r="C188" s="7"/>
      <c r="D188" s="7"/>
    </row>
    <row r="189" spans="3:4" x14ac:dyDescent="0.25">
      <c r="C189" s="7"/>
      <c r="D189" s="7"/>
    </row>
    <row r="190" spans="3:4" x14ac:dyDescent="0.25">
      <c r="C190" s="7"/>
      <c r="D190" s="7"/>
    </row>
    <row r="191" spans="3:4" x14ac:dyDescent="0.25">
      <c r="C191" s="7"/>
      <c r="D191" s="7"/>
    </row>
    <row r="192" spans="3:4" x14ac:dyDescent="0.25">
      <c r="C192" s="7"/>
      <c r="D192" s="7"/>
    </row>
    <row r="193" spans="3:4" x14ac:dyDescent="0.25">
      <c r="C193" s="7"/>
      <c r="D193" s="7"/>
    </row>
    <row r="194" spans="3:4" x14ac:dyDescent="0.25">
      <c r="C194" s="7"/>
      <c r="D194" s="7"/>
    </row>
    <row r="195" spans="3:4" x14ac:dyDescent="0.25">
      <c r="C195" s="7"/>
      <c r="D195" s="7"/>
    </row>
    <row r="196" spans="3:4" x14ac:dyDescent="0.25">
      <c r="C196" s="7"/>
      <c r="D196" s="7"/>
    </row>
    <row r="197" spans="3:4" x14ac:dyDescent="0.25">
      <c r="C197" s="7"/>
      <c r="D197" s="7"/>
    </row>
    <row r="198" spans="3:4" x14ac:dyDescent="0.25">
      <c r="C198" s="7"/>
      <c r="D198" s="7"/>
    </row>
    <row r="199" spans="3:4" x14ac:dyDescent="0.25">
      <c r="C199" s="7"/>
      <c r="D199" s="7"/>
    </row>
    <row r="200" spans="3:4" x14ac:dyDescent="0.25">
      <c r="C200" s="7"/>
      <c r="D200" s="7"/>
    </row>
    <row r="201" spans="3:4" x14ac:dyDescent="0.25">
      <c r="C201" s="7"/>
      <c r="D201" s="7"/>
    </row>
    <row r="202" spans="3:4" x14ac:dyDescent="0.25">
      <c r="C202" s="7"/>
      <c r="D202" s="7"/>
    </row>
    <row r="203" spans="3:4" x14ac:dyDescent="0.25">
      <c r="C203" s="7"/>
      <c r="D203" s="7"/>
    </row>
    <row r="204" spans="3:4" x14ac:dyDescent="0.25">
      <c r="C204" s="7"/>
      <c r="D204" s="7"/>
    </row>
    <row r="205" spans="3:4" x14ac:dyDescent="0.25">
      <c r="C205" s="7"/>
      <c r="D205" s="7"/>
    </row>
    <row r="206" spans="3:4" x14ac:dyDescent="0.25">
      <c r="C206" s="7"/>
      <c r="D206" s="7"/>
    </row>
    <row r="207" spans="3:4" x14ac:dyDescent="0.25">
      <c r="C207" s="7"/>
      <c r="D207" s="7"/>
    </row>
    <row r="208" spans="3:4" x14ac:dyDescent="0.25">
      <c r="C208" s="7"/>
      <c r="D208" s="7"/>
    </row>
    <row r="209" spans="3:4" x14ac:dyDescent="0.25">
      <c r="C209" s="7"/>
      <c r="D209" s="7"/>
    </row>
    <row r="210" spans="3:4" x14ac:dyDescent="0.25">
      <c r="C210" s="7"/>
      <c r="D210" s="7"/>
    </row>
    <row r="211" spans="3:4" x14ac:dyDescent="0.25">
      <c r="C211" s="7"/>
      <c r="D211" s="7"/>
    </row>
    <row r="212" spans="3:4" x14ac:dyDescent="0.25">
      <c r="C212" s="7"/>
      <c r="D212" s="7"/>
    </row>
    <row r="213" spans="3:4" x14ac:dyDescent="0.25">
      <c r="C213" s="7"/>
      <c r="D213" s="7"/>
    </row>
    <row r="214" spans="3:4" x14ac:dyDescent="0.25">
      <c r="C214" s="7"/>
      <c r="D214" s="7"/>
    </row>
    <row r="215" spans="3:4" x14ac:dyDescent="0.25">
      <c r="C215" s="7"/>
      <c r="D215" s="7"/>
    </row>
    <row r="216" spans="3:4" x14ac:dyDescent="0.25">
      <c r="C216" s="7"/>
      <c r="D216" s="7"/>
    </row>
    <row r="217" spans="3:4" x14ac:dyDescent="0.25">
      <c r="C217" s="7"/>
      <c r="D217" s="7"/>
    </row>
    <row r="218" spans="3:4" x14ac:dyDescent="0.25">
      <c r="C218" s="7"/>
      <c r="D218" s="7"/>
    </row>
    <row r="219" spans="3:4" x14ac:dyDescent="0.25">
      <c r="C219" s="7"/>
      <c r="D219" s="7"/>
    </row>
    <row r="220" spans="3:4" x14ac:dyDescent="0.25">
      <c r="C220" s="7"/>
      <c r="D220" s="7"/>
    </row>
    <row r="221" spans="3:4" x14ac:dyDescent="0.25">
      <c r="C221" s="7"/>
      <c r="D221" s="7"/>
    </row>
    <row r="222" spans="3:4" x14ac:dyDescent="0.25">
      <c r="C222" s="7"/>
      <c r="D222" s="7"/>
    </row>
    <row r="223" spans="3:4" x14ac:dyDescent="0.25">
      <c r="C223" s="7"/>
      <c r="D223" s="7"/>
    </row>
    <row r="224" spans="3:4" x14ac:dyDescent="0.25">
      <c r="C224" s="7"/>
      <c r="D224" s="7"/>
    </row>
    <row r="225" spans="3:4" x14ac:dyDescent="0.25">
      <c r="C225" s="7"/>
      <c r="D225" s="7"/>
    </row>
    <row r="226" spans="3:4" x14ac:dyDescent="0.25">
      <c r="C226" s="7"/>
      <c r="D226" s="7"/>
    </row>
    <row r="227" spans="3:4" x14ac:dyDescent="0.25">
      <c r="C227" s="7"/>
      <c r="D227" s="7"/>
    </row>
    <row r="228" spans="3:4" x14ac:dyDescent="0.25">
      <c r="C228" s="7"/>
      <c r="D228" s="7"/>
    </row>
    <row r="229" spans="3:4" x14ac:dyDescent="0.25">
      <c r="C229" s="7"/>
      <c r="D229" s="7"/>
    </row>
    <row r="230" spans="3:4" x14ac:dyDescent="0.25">
      <c r="C230" s="7"/>
      <c r="D230" s="7"/>
    </row>
    <row r="231" spans="3:4" x14ac:dyDescent="0.25">
      <c r="C231" s="7"/>
      <c r="D231" s="7"/>
    </row>
    <row r="232" spans="3:4" x14ac:dyDescent="0.25">
      <c r="C232" s="7"/>
      <c r="D232" s="7"/>
    </row>
    <row r="233" spans="3:4" x14ac:dyDescent="0.25">
      <c r="C233" s="7"/>
      <c r="D233" s="7"/>
    </row>
    <row r="234" spans="3:4" x14ac:dyDescent="0.25">
      <c r="C234" s="7"/>
      <c r="D234" s="7"/>
    </row>
    <row r="235" spans="3:4" x14ac:dyDescent="0.25">
      <c r="C235" s="7"/>
      <c r="D235" s="7"/>
    </row>
    <row r="236" spans="3:4" x14ac:dyDescent="0.25">
      <c r="C236" s="7"/>
      <c r="D236" s="7"/>
    </row>
    <row r="237" spans="3:4" x14ac:dyDescent="0.25">
      <c r="C237" s="7"/>
      <c r="D237" s="7"/>
    </row>
    <row r="238" spans="3:4" x14ac:dyDescent="0.25">
      <c r="C238" s="7"/>
      <c r="D238" s="7"/>
    </row>
    <row r="239" spans="3:4" x14ac:dyDescent="0.25">
      <c r="C239" s="7"/>
      <c r="D239" s="7"/>
    </row>
    <row r="240" spans="3:4" x14ac:dyDescent="0.25">
      <c r="C240" s="7"/>
      <c r="D240" s="7"/>
    </row>
    <row r="241" spans="3:4" x14ac:dyDescent="0.25">
      <c r="C241" s="7"/>
      <c r="D241" s="7"/>
    </row>
    <row r="242" spans="3:4" x14ac:dyDescent="0.25">
      <c r="C242" s="7"/>
      <c r="D242" s="7"/>
    </row>
    <row r="243" spans="3:4" x14ac:dyDescent="0.25">
      <c r="C243" s="7"/>
      <c r="D243" s="7"/>
    </row>
    <row r="244" spans="3:4" x14ac:dyDescent="0.25">
      <c r="C244" s="7"/>
      <c r="D244" s="7"/>
    </row>
    <row r="245" spans="3:4" x14ac:dyDescent="0.25">
      <c r="C245" s="7"/>
      <c r="D245" s="7"/>
    </row>
    <row r="246" spans="3:4" x14ac:dyDescent="0.25">
      <c r="C246" s="7"/>
      <c r="D246" s="7"/>
    </row>
    <row r="247" spans="3:4" x14ac:dyDescent="0.25">
      <c r="C247" s="7"/>
      <c r="D247" s="7"/>
    </row>
    <row r="248" spans="3:4" x14ac:dyDescent="0.25">
      <c r="C248" s="7"/>
      <c r="D248" s="7"/>
    </row>
    <row r="249" spans="3:4" x14ac:dyDescent="0.25">
      <c r="C249" s="7"/>
      <c r="D249" s="7"/>
    </row>
    <row r="250" spans="3:4" x14ac:dyDescent="0.25">
      <c r="C250" s="7"/>
      <c r="D250" s="7"/>
    </row>
    <row r="251" spans="3:4" x14ac:dyDescent="0.25">
      <c r="C251" s="7"/>
      <c r="D251" s="7"/>
    </row>
    <row r="252" spans="3:4" x14ac:dyDescent="0.25">
      <c r="C252" s="7"/>
      <c r="D252" s="7"/>
    </row>
    <row r="253" spans="3:4" x14ac:dyDescent="0.25">
      <c r="C253" s="7"/>
      <c r="D253" s="7"/>
    </row>
    <row r="254" spans="3:4" x14ac:dyDescent="0.25">
      <c r="C254" s="7"/>
      <c r="D254" s="7"/>
    </row>
    <row r="255" spans="3:4" x14ac:dyDescent="0.25">
      <c r="C255" s="7"/>
      <c r="D255" s="7"/>
    </row>
    <row r="256" spans="3:4" x14ac:dyDescent="0.25">
      <c r="C256" s="7"/>
      <c r="D256" s="7"/>
    </row>
    <row r="257" spans="3:4" x14ac:dyDescent="0.25">
      <c r="C257" s="7"/>
      <c r="D257" s="7"/>
    </row>
    <row r="258" spans="3:4" x14ac:dyDescent="0.25">
      <c r="C258" s="7"/>
      <c r="D258" s="7"/>
    </row>
    <row r="259" spans="3:4" x14ac:dyDescent="0.25">
      <c r="C259" s="7"/>
      <c r="D259" s="7"/>
    </row>
    <row r="260" spans="3:4" x14ac:dyDescent="0.25">
      <c r="C260" s="7"/>
      <c r="D260" s="7"/>
    </row>
    <row r="261" spans="3:4" x14ac:dyDescent="0.25">
      <c r="C261" s="7"/>
      <c r="D261" s="7"/>
    </row>
    <row r="262" spans="3:4" x14ac:dyDescent="0.25">
      <c r="C262" s="7"/>
      <c r="D262" s="7"/>
    </row>
    <row r="263" spans="3:4" x14ac:dyDescent="0.25">
      <c r="C263" s="7"/>
      <c r="D263" s="7"/>
    </row>
    <row r="264" spans="3:4" x14ac:dyDescent="0.25">
      <c r="C264" s="7"/>
      <c r="D264" s="7"/>
    </row>
    <row r="265" spans="3:4" x14ac:dyDescent="0.25">
      <c r="C265" s="7"/>
      <c r="D265" s="7"/>
    </row>
    <row r="266" spans="3:4" x14ac:dyDescent="0.25">
      <c r="C266" s="7"/>
      <c r="D266" s="7"/>
    </row>
    <row r="267" spans="3:4" x14ac:dyDescent="0.25">
      <c r="C267" s="7"/>
      <c r="D267" s="7"/>
    </row>
    <row r="268" spans="3:4" x14ac:dyDescent="0.25">
      <c r="C268" s="7"/>
      <c r="D268" s="7"/>
    </row>
    <row r="269" spans="3:4" x14ac:dyDescent="0.25">
      <c r="C269" s="7"/>
      <c r="D269" s="7"/>
    </row>
    <row r="270" spans="3:4" x14ac:dyDescent="0.25">
      <c r="C270" s="7"/>
      <c r="D270" s="7"/>
    </row>
    <row r="271" spans="3:4" x14ac:dyDescent="0.25">
      <c r="C271" s="7"/>
      <c r="D271" s="7"/>
    </row>
    <row r="272" spans="3:4" x14ac:dyDescent="0.25">
      <c r="C272" s="7"/>
      <c r="D272" s="7"/>
    </row>
    <row r="273" spans="3:4" x14ac:dyDescent="0.25">
      <c r="C273" s="7"/>
      <c r="D273" s="7"/>
    </row>
    <row r="274" spans="3:4" x14ac:dyDescent="0.25">
      <c r="C274" s="7"/>
      <c r="D274" s="7"/>
    </row>
    <row r="275" spans="3:4" x14ac:dyDescent="0.25">
      <c r="C275" s="7"/>
      <c r="D275" s="7"/>
    </row>
    <row r="276" spans="3:4" x14ac:dyDescent="0.25">
      <c r="C276" s="7"/>
      <c r="D276" s="7"/>
    </row>
    <row r="277" spans="3:4" x14ac:dyDescent="0.25">
      <c r="C277" s="7"/>
      <c r="D277" s="7"/>
    </row>
    <row r="278" spans="3:4" x14ac:dyDescent="0.25">
      <c r="C278" s="7"/>
      <c r="D278" s="7"/>
    </row>
    <row r="279" spans="3:4" x14ac:dyDescent="0.25">
      <c r="C279" s="7"/>
      <c r="D279" s="7"/>
    </row>
    <row r="280" spans="3:4" x14ac:dyDescent="0.25">
      <c r="C280" s="7"/>
      <c r="D280" s="7"/>
    </row>
    <row r="281" spans="3:4" x14ac:dyDescent="0.25">
      <c r="C281" s="7"/>
      <c r="D281" s="7"/>
    </row>
    <row r="282" spans="3:4" x14ac:dyDescent="0.25">
      <c r="C282" s="7"/>
      <c r="D282" s="7"/>
    </row>
    <row r="283" spans="3:4" x14ac:dyDescent="0.25">
      <c r="C283" s="7"/>
      <c r="D283" s="7"/>
    </row>
    <row r="284" spans="3:4" x14ac:dyDescent="0.25">
      <c r="C284" s="7"/>
      <c r="D284" s="7"/>
    </row>
    <row r="285" spans="3:4" x14ac:dyDescent="0.25">
      <c r="C285" s="7"/>
      <c r="D285" s="7"/>
    </row>
    <row r="286" spans="3:4" x14ac:dyDescent="0.25">
      <c r="C286" s="7"/>
      <c r="D286" s="7"/>
    </row>
    <row r="287" spans="3:4" x14ac:dyDescent="0.25">
      <c r="C287" s="7"/>
      <c r="D287" s="7"/>
    </row>
    <row r="288" spans="3:4" x14ac:dyDescent="0.25">
      <c r="C288" s="7"/>
      <c r="D288" s="7"/>
    </row>
    <row r="289" spans="3:4" x14ac:dyDescent="0.25">
      <c r="C289" s="7"/>
      <c r="D289" s="7"/>
    </row>
    <row r="290" spans="3:4" x14ac:dyDescent="0.25">
      <c r="C290" s="7"/>
      <c r="D290" s="7"/>
    </row>
    <row r="291" spans="3:4" x14ac:dyDescent="0.25">
      <c r="C291" s="7"/>
      <c r="D291" s="7"/>
    </row>
    <row r="292" spans="3:4" x14ac:dyDescent="0.25">
      <c r="C292" s="7"/>
      <c r="D292" s="7"/>
    </row>
    <row r="293" spans="3:4" x14ac:dyDescent="0.25">
      <c r="C293" s="7"/>
      <c r="D293" s="7"/>
    </row>
    <row r="294" spans="3:4" x14ac:dyDescent="0.25">
      <c r="C294" s="7"/>
      <c r="D294" s="7"/>
    </row>
    <row r="295" spans="3:4" x14ac:dyDescent="0.25">
      <c r="C295" s="7"/>
      <c r="D295" s="7"/>
    </row>
    <row r="296" spans="3:4" x14ac:dyDescent="0.25">
      <c r="C296" s="7"/>
      <c r="D296" s="7"/>
    </row>
    <row r="297" spans="3:4" x14ac:dyDescent="0.25">
      <c r="C297" s="7"/>
      <c r="D297" s="7"/>
    </row>
    <row r="298" spans="3:4" x14ac:dyDescent="0.25">
      <c r="C298" s="7"/>
      <c r="D298" s="7"/>
    </row>
    <row r="299" spans="3:4" x14ac:dyDescent="0.25">
      <c r="C299" s="7"/>
      <c r="D299" s="7"/>
    </row>
  </sheetData>
  <sheetProtection algorithmName="SHA-512" hashValue="EyANkM3zrproOl3GyyPlXYSH0d5R5gu3rFrf9Gwz/DDVbl4+1TtZNyB18usvmUnRKDJIqRx6cRoWua3D2lakTA==" saltValue="cTcHvDu1K9w1w8ykRCLhhw==" spinCount="100000" sheet="1" objects="1" scenarios="1" selectLockedCells="1"/>
  <mergeCells count="45">
    <mergeCell ref="F6:H6"/>
    <mergeCell ref="F7:H7"/>
    <mergeCell ref="F8:H8"/>
    <mergeCell ref="I5:K5"/>
    <mergeCell ref="I6:K6"/>
    <mergeCell ref="I7:K7"/>
    <mergeCell ref="I8:K8"/>
    <mergeCell ref="F3:H3"/>
    <mergeCell ref="I3:K3"/>
    <mergeCell ref="I4:K4"/>
    <mergeCell ref="F4:H4"/>
    <mergeCell ref="F5:H5"/>
    <mergeCell ref="D4:E4"/>
    <mergeCell ref="D5:E5"/>
    <mergeCell ref="D6:E6"/>
    <mergeCell ref="D7:E7"/>
    <mergeCell ref="D8:E8"/>
    <mergeCell ref="C1:K1"/>
    <mergeCell ref="M11:O11"/>
    <mergeCell ref="B12:D13"/>
    <mergeCell ref="B15:D16"/>
    <mergeCell ref="B18:D19"/>
    <mergeCell ref="E12:G12"/>
    <mergeCell ref="H12:J12"/>
    <mergeCell ref="K12:L12"/>
    <mergeCell ref="E15:G15"/>
    <mergeCell ref="H15:J15"/>
    <mergeCell ref="K15:L15"/>
    <mergeCell ref="A9:Q9"/>
    <mergeCell ref="B3:C3"/>
    <mergeCell ref="B5:C5"/>
    <mergeCell ref="B7:C7"/>
    <mergeCell ref="D3:E3"/>
    <mergeCell ref="F30:H30"/>
    <mergeCell ref="F27:H27"/>
    <mergeCell ref="F29:H29"/>
    <mergeCell ref="B21:D22"/>
    <mergeCell ref="E11:L11"/>
    <mergeCell ref="E26:H26"/>
    <mergeCell ref="F28:H28"/>
    <mergeCell ref="E25:H25"/>
    <mergeCell ref="E21:G21"/>
    <mergeCell ref="H21:J21"/>
    <mergeCell ref="K21:L21"/>
    <mergeCell ref="C25:D25"/>
  </mergeCells>
  <dataValidations count="1">
    <dataValidation type="decimal" allowBlank="1" showInputMessage="1" showErrorMessage="1" errorTitle="Алдаа!!!" error="Зөвхөн тоо оруулна уу." sqref="E17:Q17 E20:Q20 E23:Q23 E14:Q14">
      <formula1>-9.99999999999999E+29</formula1>
      <formula2>9.99999999999999E+31</formula2>
    </dataValidation>
  </dataValidations>
  <pageMargins left="0.7" right="0.7" top="0.75" bottom="0.75" header="0.3" footer="0.3"/>
  <pageSetup scale="4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eorep5_add_main_row">
                <anchor moveWithCells="1" sizeWithCells="1">
                  <from>
                    <xdr:col>0</xdr:col>
                    <xdr:colOff>133350</xdr:colOff>
                    <xdr:row>13</xdr:row>
                    <xdr:rowOff>28575</xdr:rowOff>
                  </from>
                  <to>
                    <xdr:col>0</xdr:col>
                    <xdr:colOff>323850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georep5_add_main_row">
                <anchor moveWithCells="1" sizeWithCells="1">
                  <from>
                    <xdr:col>0</xdr:col>
                    <xdr:colOff>133350</xdr:colOff>
                    <xdr:row>16</xdr:row>
                    <xdr:rowOff>28575</xdr:rowOff>
                  </from>
                  <to>
                    <xdr:col>0</xdr:col>
                    <xdr:colOff>323850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georep5_add_main_row">
                <anchor moveWithCells="1" sizeWithCells="1">
                  <from>
                    <xdr:col>0</xdr:col>
                    <xdr:colOff>133350</xdr:colOff>
                    <xdr:row>19</xdr:row>
                    <xdr:rowOff>28575</xdr:rowOff>
                  </from>
                  <to>
                    <xdr:col>0</xdr:col>
                    <xdr:colOff>323850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georep5_add_main_row">
                <anchor moveWithCells="1" sizeWithCells="1">
                  <from>
                    <xdr:col>0</xdr:col>
                    <xdr:colOff>133350</xdr:colOff>
                    <xdr:row>22</xdr:row>
                    <xdr:rowOff>28575</xdr:rowOff>
                  </from>
                  <to>
                    <xdr:col>0</xdr:col>
                    <xdr:colOff>323850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1:L288"/>
  <sheetViews>
    <sheetView showGridLines="0" zoomScaleNormal="100" workbookViewId="0">
      <selection activeCell="C12" sqref="C12"/>
    </sheetView>
  </sheetViews>
  <sheetFormatPr defaultRowHeight="14.25" x14ac:dyDescent="0.25"/>
  <cols>
    <col min="1" max="1" width="6.7109375" style="13" customWidth="1"/>
    <col min="2" max="2" width="5" style="13" customWidth="1"/>
    <col min="3" max="3" width="31.140625" style="13" customWidth="1"/>
    <col min="4" max="4" width="16.140625" style="13" customWidth="1"/>
    <col min="5" max="5" width="20.140625" style="13" customWidth="1"/>
    <col min="6" max="6" width="23.42578125" style="13" customWidth="1"/>
    <col min="7" max="7" width="19.85546875" style="13" customWidth="1"/>
    <col min="8" max="8" width="15.85546875" style="13" customWidth="1"/>
    <col min="9" max="26" width="9.140625" style="13"/>
    <col min="27" max="28" width="0" style="13" hidden="1" customWidth="1"/>
    <col min="29" max="16384" width="9.140625" style="13"/>
  </cols>
  <sheetData>
    <row r="1" spans="2:12" s="8" customFormat="1" ht="99" customHeight="1" x14ac:dyDescent="0.2">
      <c r="B1" s="9"/>
      <c r="C1" s="145" t="s">
        <v>219</v>
      </c>
      <c r="D1" s="145"/>
      <c r="E1" s="145"/>
      <c r="F1" s="145"/>
      <c r="G1" s="145"/>
      <c r="H1" s="12" t="s">
        <v>139</v>
      </c>
      <c r="I1" s="11"/>
      <c r="J1" s="11"/>
      <c r="K1" s="11"/>
      <c r="L1" s="11"/>
    </row>
    <row r="3" spans="2:12" s="7" customFormat="1" x14ac:dyDescent="0.25">
      <c r="B3" s="132" t="s">
        <v>8</v>
      </c>
      <c r="C3" s="132"/>
      <c r="D3" s="140"/>
      <c r="E3" s="140"/>
      <c r="F3" s="98"/>
      <c r="G3" s="132"/>
      <c r="H3" s="132"/>
    </row>
    <row r="4" spans="2:12" s="7" customFormat="1" ht="7.5" customHeight="1" x14ac:dyDescent="0.25">
      <c r="D4" s="126" t="s">
        <v>230</v>
      </c>
      <c r="E4" s="126"/>
      <c r="F4" s="98"/>
      <c r="G4" s="126"/>
      <c r="H4" s="126"/>
    </row>
    <row r="5" spans="2:12" s="7" customFormat="1" x14ac:dyDescent="0.25">
      <c r="B5" s="132" t="s">
        <v>9</v>
      </c>
      <c r="C5" s="132"/>
      <c r="D5" s="140"/>
      <c r="E5" s="140"/>
      <c r="F5" s="98"/>
      <c r="G5" s="132"/>
      <c r="H5" s="132"/>
    </row>
    <row r="6" spans="2:12" s="7" customFormat="1" ht="7.5" customHeight="1" x14ac:dyDescent="0.25">
      <c r="D6" s="126" t="s">
        <v>231</v>
      </c>
      <c r="E6" s="126"/>
      <c r="F6" s="98"/>
      <c r="G6" s="126"/>
      <c r="H6" s="126"/>
    </row>
    <row r="7" spans="2:12" s="7" customFormat="1" x14ac:dyDescent="0.25">
      <c r="B7" s="132" t="s">
        <v>222</v>
      </c>
      <c r="C7" s="132"/>
      <c r="D7" s="140"/>
      <c r="E7" s="140"/>
      <c r="F7" s="98"/>
      <c r="G7" s="132"/>
      <c r="H7" s="132"/>
    </row>
    <row r="8" spans="2:12" s="7" customFormat="1" ht="7.5" customHeight="1" x14ac:dyDescent="0.25">
      <c r="D8" s="126" t="s">
        <v>232</v>
      </c>
      <c r="E8" s="126"/>
      <c r="F8" s="98"/>
      <c r="G8" s="126"/>
      <c r="H8" s="126"/>
    </row>
    <row r="9" spans="2:12" ht="18" x14ac:dyDescent="0.25">
      <c r="B9" s="169" t="s">
        <v>196</v>
      </c>
      <c r="C9" s="169"/>
      <c r="D9" s="169"/>
      <c r="E9" s="169"/>
      <c r="F9" s="169"/>
      <c r="G9" s="169"/>
      <c r="H9" s="169"/>
    </row>
    <row r="10" spans="2:12" ht="30" customHeight="1" x14ac:dyDescent="0.25"/>
    <row r="11" spans="2:12" ht="30" x14ac:dyDescent="0.25">
      <c r="B11" s="19" t="s">
        <v>0</v>
      </c>
      <c r="C11" s="24" t="s">
        <v>140</v>
      </c>
      <c r="D11" s="15" t="s">
        <v>141</v>
      </c>
      <c r="E11" s="15" t="s">
        <v>142</v>
      </c>
      <c r="F11" s="15" t="s">
        <v>143</v>
      </c>
      <c r="G11" s="15" t="s">
        <v>144</v>
      </c>
      <c r="H11" s="15" t="s">
        <v>145</v>
      </c>
    </row>
    <row r="12" spans="2:12" ht="15" x14ac:dyDescent="0.25">
      <c r="B12" s="6">
        <f ca="1">OFFSET($B11,-1,0,1,1)+1</f>
        <v>1</v>
      </c>
      <c r="C12" s="45"/>
      <c r="D12" s="46"/>
      <c r="E12" s="46"/>
      <c r="F12" s="46"/>
      <c r="G12" s="46"/>
      <c r="H12" s="46"/>
    </row>
    <row r="13" spans="2:12" x14ac:dyDescent="0.25">
      <c r="C13" s="7"/>
    </row>
    <row r="14" spans="2:12" x14ac:dyDescent="0.25">
      <c r="C14" s="7" t="s">
        <v>55</v>
      </c>
      <c r="D14" s="130"/>
      <c r="E14" s="130"/>
    </row>
    <row r="15" spans="2:12" ht="6.75" customHeight="1" x14ac:dyDescent="0.25">
      <c r="C15" s="7"/>
      <c r="D15" s="126" t="s">
        <v>233</v>
      </c>
      <c r="E15" s="126"/>
    </row>
    <row r="16" spans="2:12" x14ac:dyDescent="0.25">
      <c r="C16" s="7" t="s">
        <v>56</v>
      </c>
      <c r="D16" s="7" t="s">
        <v>57</v>
      </c>
      <c r="E16" s="48"/>
    </row>
    <row r="17" spans="3:5" ht="6.75" customHeight="1" x14ac:dyDescent="0.25">
      <c r="C17" s="7"/>
      <c r="D17" s="7"/>
      <c r="E17" s="94" t="s">
        <v>227</v>
      </c>
    </row>
    <row r="18" spans="3:5" x14ac:dyDescent="0.25">
      <c r="C18" s="7"/>
      <c r="D18" s="7" t="s">
        <v>58</v>
      </c>
      <c r="E18" s="48"/>
    </row>
    <row r="19" spans="3:5" ht="6.75" customHeight="1" x14ac:dyDescent="0.25">
      <c r="C19" s="7"/>
      <c r="D19" s="7"/>
      <c r="E19" s="94" t="s">
        <v>228</v>
      </c>
    </row>
    <row r="20" spans="3:5" x14ac:dyDescent="0.25">
      <c r="C20" s="7"/>
    </row>
    <row r="21" spans="3:5" x14ac:dyDescent="0.25">
      <c r="C21" s="7"/>
    </row>
    <row r="22" spans="3:5" x14ac:dyDescent="0.25">
      <c r="C22" s="95" t="s">
        <v>240</v>
      </c>
    </row>
    <row r="23" spans="3:5" x14ac:dyDescent="0.25">
      <c r="C23" s="7"/>
    </row>
    <row r="24" spans="3:5" x14ac:dyDescent="0.25">
      <c r="C24" s="7"/>
    </row>
    <row r="25" spans="3:5" x14ac:dyDescent="0.25">
      <c r="C25" s="7"/>
    </row>
    <row r="26" spans="3:5" x14ac:dyDescent="0.25">
      <c r="C26" s="7"/>
    </row>
    <row r="27" spans="3:5" x14ac:dyDescent="0.25">
      <c r="C27" s="7"/>
    </row>
    <row r="28" spans="3:5" x14ac:dyDescent="0.25">
      <c r="C28" s="7"/>
    </row>
    <row r="29" spans="3:5" x14ac:dyDescent="0.25">
      <c r="C29" s="7"/>
    </row>
    <row r="30" spans="3:5" x14ac:dyDescent="0.25">
      <c r="C30" s="7"/>
    </row>
    <row r="31" spans="3:5" x14ac:dyDescent="0.25">
      <c r="C31" s="7"/>
    </row>
    <row r="32" spans="3:5" x14ac:dyDescent="0.25">
      <c r="C32" s="7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</sheetData>
  <sheetProtection algorithmName="SHA-512" hashValue="3xO5HqZG9C7amTIeQ4/qYdU54I/ed808JoeXeD2HZ8HAZ5Nwh3/OhjGYi+shodTfU1KXmPdNgeh/H2IGR4YHhQ==" saltValue="ilE84EcRHYYhufqV1FKQJA==" spinCount="100000" sheet="1" selectLockedCells="1"/>
  <mergeCells count="19">
    <mergeCell ref="C1:G1"/>
    <mergeCell ref="D3:E3"/>
    <mergeCell ref="D5:E5"/>
    <mergeCell ref="D7:E7"/>
    <mergeCell ref="D4:E4"/>
    <mergeCell ref="D6:E6"/>
    <mergeCell ref="G3:H3"/>
    <mergeCell ref="G4:H4"/>
    <mergeCell ref="G5:H5"/>
    <mergeCell ref="G6:H6"/>
    <mergeCell ref="G7:H7"/>
    <mergeCell ref="D14:E14"/>
    <mergeCell ref="D15:E15"/>
    <mergeCell ref="B3:C3"/>
    <mergeCell ref="B5:C5"/>
    <mergeCell ref="B7:C7"/>
    <mergeCell ref="B9:H9"/>
    <mergeCell ref="D8:E8"/>
    <mergeCell ref="G8:H8"/>
  </mergeCells>
  <dataValidations count="1">
    <dataValidation type="decimal" allowBlank="1" showInputMessage="1" showErrorMessage="1" errorTitle="Алдаа" error="Зөвхөн тоо оруулна уу!!!" sqref="D12">
      <formula1>-9.99999999999999E+33</formula1>
      <formula2>9.99999999999999E+34</formula2>
    </dataValidation>
  </dataValidations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orep6_add_main_row">
                <anchor moveWithCells="1" sizeWithCells="1">
                  <from>
                    <xdr:col>0</xdr:col>
                    <xdr:colOff>133350</xdr:colOff>
                    <xdr:row>11</xdr:row>
                    <xdr:rowOff>28575</xdr:rowOff>
                  </from>
                  <to>
                    <xdr:col>0</xdr:col>
                    <xdr:colOff>323850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Q300"/>
  <sheetViews>
    <sheetView showGridLines="0" topLeftCell="A4" zoomScaleNormal="100" workbookViewId="0">
      <selection activeCell="Q23" sqref="Q23"/>
    </sheetView>
  </sheetViews>
  <sheetFormatPr defaultRowHeight="14.25" x14ac:dyDescent="0.25"/>
  <cols>
    <col min="1" max="1" width="6.7109375" style="84" customWidth="1"/>
    <col min="2" max="2" width="5.5703125" style="84" customWidth="1"/>
    <col min="3" max="3" width="31.42578125" style="84" customWidth="1"/>
    <col min="4" max="11" width="8.7109375" style="84" customWidth="1"/>
    <col min="12" max="12" width="13.42578125" style="84" customWidth="1"/>
    <col min="13" max="13" width="10.5703125" style="84" customWidth="1"/>
    <col min="14" max="14" width="12.28515625" style="84" customWidth="1"/>
    <col min="15" max="15" width="12.7109375" style="84" customWidth="1"/>
    <col min="16" max="16" width="24" style="84" customWidth="1"/>
    <col min="17" max="17" width="31.5703125" style="84" customWidth="1"/>
    <col min="18" max="16384" width="9.140625" style="84"/>
  </cols>
  <sheetData>
    <row r="1" spans="1:17" s="8" customFormat="1" ht="99" customHeight="1" x14ac:dyDescent="0.2">
      <c r="B1" s="9"/>
      <c r="C1" s="145" t="s">
        <v>219</v>
      </c>
      <c r="D1" s="145"/>
      <c r="E1" s="145"/>
      <c r="F1" s="145"/>
      <c r="G1" s="145"/>
      <c r="H1" s="145"/>
      <c r="I1" s="145"/>
      <c r="J1" s="145"/>
      <c r="K1" s="145"/>
      <c r="L1" s="11"/>
      <c r="Q1" s="12" t="s">
        <v>155</v>
      </c>
    </row>
    <row r="3" spans="1:17" s="85" customFormat="1" x14ac:dyDescent="0.25">
      <c r="B3" s="132" t="s">
        <v>8</v>
      </c>
      <c r="C3" s="132"/>
      <c r="D3" s="140"/>
      <c r="E3" s="140"/>
      <c r="F3" s="140"/>
      <c r="G3" s="132"/>
      <c r="H3" s="132"/>
      <c r="I3" s="132"/>
      <c r="J3" s="132"/>
      <c r="K3" s="132"/>
      <c r="L3" s="132"/>
      <c r="M3" s="84"/>
    </row>
    <row r="4" spans="1:17" s="85" customFormat="1" ht="8.25" customHeight="1" x14ac:dyDescent="0.25">
      <c r="D4" s="126" t="s">
        <v>230</v>
      </c>
      <c r="E4" s="126"/>
      <c r="F4" s="126"/>
      <c r="G4" s="132"/>
      <c r="H4" s="132"/>
      <c r="I4" s="132"/>
      <c r="J4" s="126"/>
      <c r="K4" s="126"/>
      <c r="L4" s="126"/>
      <c r="M4" s="84"/>
    </row>
    <row r="5" spans="1:17" s="85" customFormat="1" x14ac:dyDescent="0.25">
      <c r="B5" s="132" t="s">
        <v>225</v>
      </c>
      <c r="C5" s="132"/>
      <c r="D5" s="140"/>
      <c r="E5" s="140"/>
      <c r="F5" s="140"/>
      <c r="G5" s="132"/>
      <c r="H5" s="132"/>
      <c r="I5" s="132"/>
      <c r="J5" s="132"/>
      <c r="K5" s="132"/>
      <c r="L5" s="132"/>
      <c r="M5" s="84"/>
    </row>
    <row r="6" spans="1:17" s="85" customFormat="1" ht="8.25" customHeight="1" x14ac:dyDescent="0.25">
      <c r="D6" s="126" t="s">
        <v>231</v>
      </c>
      <c r="E6" s="126"/>
      <c r="F6" s="126"/>
      <c r="G6" s="132"/>
      <c r="H6" s="132"/>
      <c r="I6" s="132"/>
      <c r="J6" s="126"/>
      <c r="K6" s="126"/>
      <c r="L6" s="126"/>
      <c r="M6" s="84"/>
    </row>
    <row r="7" spans="1:17" s="85" customFormat="1" x14ac:dyDescent="0.25">
      <c r="B7" s="132" t="s">
        <v>222</v>
      </c>
      <c r="C7" s="132"/>
      <c r="D7" s="140"/>
      <c r="E7" s="140"/>
      <c r="F7" s="140"/>
      <c r="G7" s="132"/>
      <c r="H7" s="132"/>
      <c r="I7" s="132"/>
      <c r="J7" s="132"/>
      <c r="K7" s="132"/>
      <c r="L7" s="132"/>
      <c r="M7" s="84"/>
    </row>
    <row r="8" spans="1:17" s="85" customFormat="1" ht="8.25" customHeight="1" x14ac:dyDescent="0.25">
      <c r="D8" s="126" t="s">
        <v>232</v>
      </c>
      <c r="E8" s="126"/>
      <c r="F8" s="126"/>
      <c r="G8" s="98"/>
      <c r="H8" s="98"/>
      <c r="I8" s="98"/>
      <c r="J8" s="126"/>
      <c r="K8" s="126"/>
      <c r="L8" s="126"/>
      <c r="M8" s="84"/>
    </row>
    <row r="9" spans="1:17" ht="18" x14ac:dyDescent="0.25">
      <c r="A9" s="169" t="s">
        <v>195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</row>
    <row r="10" spans="1:17" ht="30" customHeight="1" x14ac:dyDescent="0.25">
      <c r="B10" s="85"/>
      <c r="Q10" s="106" t="s">
        <v>248</v>
      </c>
    </row>
    <row r="11" spans="1:17" ht="45.75" customHeight="1" x14ac:dyDescent="0.25">
      <c r="A11" s="66"/>
      <c r="B11" s="89" t="s">
        <v>0</v>
      </c>
      <c r="C11" s="89" t="s">
        <v>150</v>
      </c>
      <c r="D11" s="133" t="s">
        <v>151</v>
      </c>
      <c r="E11" s="176"/>
      <c r="F11" s="176"/>
      <c r="G11" s="176"/>
      <c r="H11" s="176"/>
      <c r="I11" s="176"/>
      <c r="J11" s="176"/>
      <c r="K11" s="134"/>
      <c r="L11" s="89" t="s">
        <v>2</v>
      </c>
      <c r="M11" s="89" t="s">
        <v>4</v>
      </c>
      <c r="N11" s="89" t="s">
        <v>152</v>
      </c>
      <c r="O11" s="89" t="s">
        <v>153</v>
      </c>
      <c r="P11" s="89" t="s">
        <v>154</v>
      </c>
      <c r="Q11" s="89" t="s">
        <v>251</v>
      </c>
    </row>
    <row r="12" spans="1:17" ht="15" customHeight="1" x14ac:dyDescent="0.25">
      <c r="A12" s="66"/>
      <c r="B12" s="177" t="s">
        <v>146</v>
      </c>
      <c r="C12" s="178"/>
      <c r="D12" s="139" t="s">
        <v>102</v>
      </c>
      <c r="E12" s="139"/>
      <c r="F12" s="139"/>
      <c r="G12" s="139" t="s">
        <v>103</v>
      </c>
      <c r="H12" s="139"/>
      <c r="I12" s="139"/>
      <c r="J12" s="128" t="s">
        <v>131</v>
      </c>
      <c r="K12" s="129"/>
      <c r="L12" s="55"/>
      <c r="M12" s="67"/>
      <c r="N12" s="56"/>
      <c r="O12" s="56"/>
      <c r="P12" s="68"/>
      <c r="Q12" s="57"/>
    </row>
    <row r="13" spans="1:17" ht="15" customHeight="1" x14ac:dyDescent="0.25">
      <c r="B13" s="180"/>
      <c r="C13" s="181"/>
      <c r="D13" s="89" t="s">
        <v>104</v>
      </c>
      <c r="E13" s="89" t="s">
        <v>105</v>
      </c>
      <c r="F13" s="89" t="s">
        <v>106</v>
      </c>
      <c r="G13" s="89" t="s">
        <v>104</v>
      </c>
      <c r="H13" s="89" t="s">
        <v>105</v>
      </c>
      <c r="I13" s="89" t="s">
        <v>106</v>
      </c>
      <c r="J13" s="89" t="s">
        <v>132</v>
      </c>
      <c r="K13" s="89" t="s">
        <v>133</v>
      </c>
      <c r="L13" s="59"/>
      <c r="M13" s="69"/>
      <c r="N13" s="60"/>
      <c r="O13" s="60"/>
      <c r="P13" s="61"/>
      <c r="Q13" s="62"/>
    </row>
    <row r="14" spans="1:17" x14ac:dyDescent="0.25">
      <c r="B14" s="90">
        <f ca="1">OFFSET($B14,-1,0,1,1)+1</f>
        <v>1</v>
      </c>
      <c r="C14" s="41"/>
      <c r="D14" s="23"/>
      <c r="E14" s="23"/>
      <c r="F14" s="23"/>
      <c r="G14" s="23"/>
      <c r="H14" s="23"/>
      <c r="I14" s="23"/>
      <c r="J14" s="23"/>
      <c r="K14" s="23"/>
      <c r="L14" s="65"/>
      <c r="M14" s="90" t="s">
        <v>193</v>
      </c>
      <c r="N14" s="23"/>
      <c r="O14" s="23"/>
      <c r="P14" s="23"/>
      <c r="Q14" s="115"/>
    </row>
    <row r="15" spans="1:17" ht="15" x14ac:dyDescent="0.25">
      <c r="B15" s="177" t="s">
        <v>147</v>
      </c>
      <c r="C15" s="178"/>
      <c r="D15" s="139" t="s">
        <v>102</v>
      </c>
      <c r="E15" s="139"/>
      <c r="F15" s="139"/>
      <c r="G15" s="139" t="s">
        <v>103</v>
      </c>
      <c r="H15" s="139"/>
      <c r="I15" s="139"/>
      <c r="J15" s="128" t="s">
        <v>131</v>
      </c>
      <c r="K15" s="129"/>
      <c r="L15" s="55"/>
      <c r="M15" s="67"/>
      <c r="N15" s="56"/>
      <c r="O15" s="56"/>
      <c r="P15" s="68"/>
      <c r="Q15" s="57"/>
    </row>
    <row r="16" spans="1:17" ht="15" x14ac:dyDescent="0.25">
      <c r="B16" s="180"/>
      <c r="C16" s="181"/>
      <c r="D16" s="89" t="s">
        <v>104</v>
      </c>
      <c r="E16" s="89" t="s">
        <v>105</v>
      </c>
      <c r="F16" s="89" t="s">
        <v>106</v>
      </c>
      <c r="G16" s="89" t="s">
        <v>104</v>
      </c>
      <c r="H16" s="89" t="s">
        <v>105</v>
      </c>
      <c r="I16" s="89" t="s">
        <v>106</v>
      </c>
      <c r="J16" s="89" t="s">
        <v>132</v>
      </c>
      <c r="K16" s="89" t="s">
        <v>133</v>
      </c>
      <c r="L16" s="59"/>
      <c r="M16" s="69"/>
      <c r="N16" s="60"/>
      <c r="O16" s="60"/>
      <c r="P16" s="61"/>
      <c r="Q16" s="62"/>
    </row>
    <row r="17" spans="2:17" x14ac:dyDescent="0.25">
      <c r="B17" s="90">
        <f ca="1">OFFSET($B17,-1,0,1,1)+1</f>
        <v>1</v>
      </c>
      <c r="C17" s="41"/>
      <c r="D17" s="23"/>
      <c r="E17" s="23"/>
      <c r="F17" s="23"/>
      <c r="G17" s="23"/>
      <c r="H17" s="23"/>
      <c r="I17" s="23"/>
      <c r="J17" s="23"/>
      <c r="K17" s="23"/>
      <c r="L17" s="65"/>
      <c r="M17" s="90" t="s">
        <v>27</v>
      </c>
      <c r="N17" s="23"/>
      <c r="O17" s="23"/>
      <c r="P17" s="23"/>
      <c r="Q17" s="115"/>
    </row>
    <row r="18" spans="2:17" ht="15" x14ac:dyDescent="0.25">
      <c r="B18" s="177" t="s">
        <v>148</v>
      </c>
      <c r="C18" s="178"/>
      <c r="D18" s="139" t="s">
        <v>102</v>
      </c>
      <c r="E18" s="139"/>
      <c r="F18" s="139"/>
      <c r="G18" s="139" t="s">
        <v>103</v>
      </c>
      <c r="H18" s="139"/>
      <c r="I18" s="139"/>
      <c r="J18" s="128" t="s">
        <v>131</v>
      </c>
      <c r="K18" s="129"/>
      <c r="L18" s="55"/>
      <c r="M18" s="67"/>
      <c r="N18" s="56"/>
      <c r="O18" s="56"/>
      <c r="P18" s="68"/>
      <c r="Q18" s="57"/>
    </row>
    <row r="19" spans="2:17" ht="15" x14ac:dyDescent="0.25">
      <c r="B19" s="180"/>
      <c r="C19" s="181"/>
      <c r="D19" s="89" t="s">
        <v>104</v>
      </c>
      <c r="E19" s="89" t="s">
        <v>105</v>
      </c>
      <c r="F19" s="89" t="s">
        <v>106</v>
      </c>
      <c r="G19" s="89" t="s">
        <v>104</v>
      </c>
      <c r="H19" s="89" t="s">
        <v>105</v>
      </c>
      <c r="I19" s="89" t="s">
        <v>106</v>
      </c>
      <c r="J19" s="89" t="s">
        <v>132</v>
      </c>
      <c r="K19" s="89" t="s">
        <v>133</v>
      </c>
      <c r="L19" s="59"/>
      <c r="M19" s="69"/>
      <c r="N19" s="60"/>
      <c r="O19" s="60"/>
      <c r="P19" s="61"/>
      <c r="Q19" s="62"/>
    </row>
    <row r="20" spans="2:17" x14ac:dyDescent="0.25">
      <c r="B20" s="90">
        <f ca="1">OFFSET($B20,-1,0,1,1)+1</f>
        <v>1</v>
      </c>
      <c r="C20" s="41"/>
      <c r="D20" s="23"/>
      <c r="E20" s="23"/>
      <c r="F20" s="23"/>
      <c r="G20" s="23"/>
      <c r="H20" s="23"/>
      <c r="I20" s="23"/>
      <c r="J20" s="23"/>
      <c r="K20" s="23"/>
      <c r="L20" s="65"/>
      <c r="M20" s="90" t="s">
        <v>27</v>
      </c>
      <c r="N20" s="23"/>
      <c r="O20" s="23"/>
      <c r="P20" s="23"/>
      <c r="Q20" s="115"/>
    </row>
    <row r="21" spans="2:17" ht="15" x14ac:dyDescent="0.25">
      <c r="B21" s="177" t="s">
        <v>149</v>
      </c>
      <c r="C21" s="178"/>
      <c r="D21" s="139" t="s">
        <v>102</v>
      </c>
      <c r="E21" s="139"/>
      <c r="F21" s="139"/>
      <c r="G21" s="139" t="s">
        <v>103</v>
      </c>
      <c r="H21" s="139"/>
      <c r="I21" s="139"/>
      <c r="J21" s="128" t="s">
        <v>131</v>
      </c>
      <c r="K21" s="129"/>
      <c r="L21" s="55"/>
      <c r="M21" s="67"/>
      <c r="N21" s="56"/>
      <c r="O21" s="56"/>
      <c r="P21" s="68"/>
      <c r="Q21" s="57"/>
    </row>
    <row r="22" spans="2:17" ht="15" x14ac:dyDescent="0.25">
      <c r="B22" s="180"/>
      <c r="C22" s="181"/>
      <c r="D22" s="89" t="s">
        <v>104</v>
      </c>
      <c r="E22" s="89" t="s">
        <v>105</v>
      </c>
      <c r="F22" s="89" t="s">
        <v>106</v>
      </c>
      <c r="G22" s="89" t="s">
        <v>104</v>
      </c>
      <c r="H22" s="89" t="s">
        <v>105</v>
      </c>
      <c r="I22" s="89" t="s">
        <v>106</v>
      </c>
      <c r="J22" s="89" t="s">
        <v>132</v>
      </c>
      <c r="K22" s="89" t="s">
        <v>133</v>
      </c>
      <c r="L22" s="59"/>
      <c r="M22" s="69"/>
      <c r="N22" s="60"/>
      <c r="O22" s="60"/>
      <c r="P22" s="61"/>
      <c r="Q22" s="62"/>
    </row>
    <row r="23" spans="2:17" x14ac:dyDescent="0.25">
      <c r="B23" s="90">
        <f ca="1">OFFSET($B23,-1,0,1,1)+1</f>
        <v>1</v>
      </c>
      <c r="C23" s="41"/>
      <c r="D23" s="23"/>
      <c r="E23" s="23"/>
      <c r="F23" s="23"/>
      <c r="G23" s="23"/>
      <c r="H23" s="23"/>
      <c r="I23" s="23"/>
      <c r="J23" s="23"/>
      <c r="K23" s="23"/>
      <c r="L23" s="65"/>
      <c r="M23" s="23"/>
      <c r="N23" s="23"/>
      <c r="O23" s="23"/>
      <c r="P23" s="23"/>
      <c r="Q23" s="115"/>
    </row>
    <row r="24" spans="2:17" ht="18.75" customHeight="1" x14ac:dyDescent="0.25">
      <c r="B24" s="128" t="s">
        <v>194</v>
      </c>
      <c r="C24" s="129"/>
      <c r="D24" s="86"/>
      <c r="E24" s="87"/>
      <c r="F24" s="87"/>
      <c r="G24" s="87"/>
      <c r="H24" s="87"/>
      <c r="I24" s="87"/>
      <c r="J24" s="87"/>
      <c r="K24" s="87"/>
      <c r="L24" s="4"/>
      <c r="M24" s="87"/>
      <c r="N24" s="87"/>
      <c r="O24" s="87"/>
      <c r="P24" s="88"/>
      <c r="Q24" s="116">
        <f ca="1">SUM(INDIRECT("$Q$14:$Q"&amp;ROW()-1))</f>
        <v>0</v>
      </c>
    </row>
    <row r="25" spans="2:17" ht="15" x14ac:dyDescent="0.25">
      <c r="B25" s="44"/>
      <c r="C25" s="44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</row>
    <row r="26" spans="2:17" x14ac:dyDescent="0.25">
      <c r="C26" s="85" t="s">
        <v>55</v>
      </c>
      <c r="D26" s="130"/>
      <c r="E26" s="130"/>
      <c r="F26" s="130"/>
      <c r="K26" s="97" t="s">
        <v>97</v>
      </c>
      <c r="L26" s="96"/>
      <c r="M26" s="96"/>
      <c r="N26" s="96"/>
    </row>
    <row r="27" spans="2:17" ht="9.75" customHeight="1" x14ac:dyDescent="0.25">
      <c r="C27" s="85"/>
      <c r="D27" s="126" t="s">
        <v>233</v>
      </c>
      <c r="E27" s="126"/>
      <c r="F27" s="126"/>
      <c r="K27" s="97"/>
      <c r="L27" s="96"/>
      <c r="M27" s="96"/>
      <c r="N27" s="96"/>
    </row>
    <row r="28" spans="2:17" x14ac:dyDescent="0.25">
      <c r="C28" s="85" t="s">
        <v>56</v>
      </c>
      <c r="D28" s="132" t="s">
        <v>57</v>
      </c>
      <c r="E28" s="132"/>
      <c r="F28" s="183"/>
      <c r="G28" s="183"/>
      <c r="H28" s="183"/>
      <c r="I28" s="85"/>
      <c r="J28" s="85"/>
      <c r="K28" s="97"/>
      <c r="L28" s="97" t="s">
        <v>99</v>
      </c>
      <c r="M28" s="183"/>
      <c r="N28" s="183"/>
    </row>
    <row r="29" spans="2:17" ht="9.75" customHeight="1" x14ac:dyDescent="0.25">
      <c r="C29" s="85"/>
      <c r="D29" s="85"/>
      <c r="E29" s="85"/>
      <c r="F29" s="126" t="s">
        <v>227</v>
      </c>
      <c r="G29" s="126"/>
      <c r="H29" s="126"/>
      <c r="I29" s="85"/>
      <c r="J29" s="85"/>
      <c r="K29" s="97"/>
      <c r="L29" s="96"/>
      <c r="M29" s="126" t="s">
        <v>234</v>
      </c>
      <c r="N29" s="126"/>
    </row>
    <row r="30" spans="2:17" x14ac:dyDescent="0.25">
      <c r="C30" s="85"/>
      <c r="D30" s="132" t="s">
        <v>58</v>
      </c>
      <c r="E30" s="132"/>
      <c r="F30" s="183"/>
      <c r="G30" s="183"/>
      <c r="H30" s="183"/>
      <c r="I30" s="85"/>
      <c r="J30" s="85"/>
      <c r="K30" s="85"/>
    </row>
    <row r="31" spans="2:17" ht="9.75" customHeight="1" x14ac:dyDescent="0.25">
      <c r="C31" s="85"/>
      <c r="D31" s="85"/>
      <c r="E31" s="85"/>
      <c r="F31" s="126" t="s">
        <v>228</v>
      </c>
      <c r="G31" s="126"/>
      <c r="H31" s="126"/>
      <c r="I31" s="85"/>
      <c r="J31" s="85"/>
      <c r="K31" s="85"/>
    </row>
    <row r="32" spans="2:17" x14ac:dyDescent="0.25">
      <c r="C32" s="85"/>
    </row>
    <row r="33" spans="3:3" x14ac:dyDescent="0.25">
      <c r="C33" s="85"/>
    </row>
    <row r="34" spans="3:3" x14ac:dyDescent="0.25">
      <c r="C34" s="95" t="s">
        <v>240</v>
      </c>
    </row>
    <row r="35" spans="3:3" x14ac:dyDescent="0.25">
      <c r="C35" s="85"/>
    </row>
    <row r="36" spans="3:3" x14ac:dyDescent="0.25">
      <c r="C36" s="85"/>
    </row>
    <row r="37" spans="3:3" x14ac:dyDescent="0.25">
      <c r="C37" s="85"/>
    </row>
    <row r="38" spans="3:3" x14ac:dyDescent="0.25">
      <c r="C38" s="85"/>
    </row>
    <row r="39" spans="3:3" x14ac:dyDescent="0.25">
      <c r="C39" s="85"/>
    </row>
    <row r="40" spans="3:3" x14ac:dyDescent="0.25">
      <c r="C40" s="85"/>
    </row>
    <row r="41" spans="3:3" x14ac:dyDescent="0.25">
      <c r="C41" s="85"/>
    </row>
    <row r="42" spans="3:3" x14ac:dyDescent="0.25">
      <c r="C42" s="85"/>
    </row>
    <row r="43" spans="3:3" x14ac:dyDescent="0.25">
      <c r="C43" s="85"/>
    </row>
    <row r="44" spans="3:3" x14ac:dyDescent="0.25">
      <c r="C44" s="85"/>
    </row>
    <row r="45" spans="3:3" x14ac:dyDescent="0.25">
      <c r="C45" s="85"/>
    </row>
    <row r="46" spans="3:3" x14ac:dyDescent="0.25">
      <c r="C46" s="85"/>
    </row>
    <row r="47" spans="3:3" x14ac:dyDescent="0.25">
      <c r="C47" s="85"/>
    </row>
    <row r="48" spans="3:3" x14ac:dyDescent="0.25">
      <c r="C48" s="85"/>
    </row>
    <row r="49" spans="3:3" x14ac:dyDescent="0.25">
      <c r="C49" s="85"/>
    </row>
    <row r="50" spans="3:3" x14ac:dyDescent="0.25">
      <c r="C50" s="85"/>
    </row>
    <row r="51" spans="3:3" x14ac:dyDescent="0.25">
      <c r="C51" s="85"/>
    </row>
    <row r="52" spans="3:3" x14ac:dyDescent="0.25">
      <c r="C52" s="85"/>
    </row>
    <row r="53" spans="3:3" x14ac:dyDescent="0.25">
      <c r="C53" s="85"/>
    </row>
    <row r="54" spans="3:3" x14ac:dyDescent="0.25">
      <c r="C54" s="85"/>
    </row>
    <row r="55" spans="3:3" x14ac:dyDescent="0.25">
      <c r="C55" s="85"/>
    </row>
    <row r="56" spans="3:3" x14ac:dyDescent="0.25">
      <c r="C56" s="85"/>
    </row>
    <row r="57" spans="3:3" x14ac:dyDescent="0.25">
      <c r="C57" s="85"/>
    </row>
    <row r="58" spans="3:3" x14ac:dyDescent="0.25">
      <c r="C58" s="85"/>
    </row>
    <row r="59" spans="3:3" x14ac:dyDescent="0.25">
      <c r="C59" s="85"/>
    </row>
    <row r="60" spans="3:3" x14ac:dyDescent="0.25">
      <c r="C60" s="85"/>
    </row>
    <row r="61" spans="3:3" x14ac:dyDescent="0.25">
      <c r="C61" s="85"/>
    </row>
    <row r="62" spans="3:3" x14ac:dyDescent="0.25">
      <c r="C62" s="85"/>
    </row>
    <row r="63" spans="3:3" x14ac:dyDescent="0.25">
      <c r="C63" s="85"/>
    </row>
    <row r="64" spans="3:3" x14ac:dyDescent="0.25">
      <c r="C64" s="85"/>
    </row>
    <row r="65" spans="3:3" x14ac:dyDescent="0.25">
      <c r="C65" s="85"/>
    </row>
    <row r="66" spans="3:3" x14ac:dyDescent="0.25">
      <c r="C66" s="85"/>
    </row>
    <row r="67" spans="3:3" x14ac:dyDescent="0.25">
      <c r="C67" s="85"/>
    </row>
    <row r="68" spans="3:3" x14ac:dyDescent="0.25">
      <c r="C68" s="85"/>
    </row>
    <row r="69" spans="3:3" x14ac:dyDescent="0.25">
      <c r="C69" s="85"/>
    </row>
    <row r="70" spans="3:3" x14ac:dyDescent="0.25">
      <c r="C70" s="85"/>
    </row>
    <row r="71" spans="3:3" x14ac:dyDescent="0.25">
      <c r="C71" s="85"/>
    </row>
    <row r="72" spans="3:3" x14ac:dyDescent="0.25">
      <c r="C72" s="85"/>
    </row>
    <row r="73" spans="3:3" x14ac:dyDescent="0.25">
      <c r="C73" s="85"/>
    </row>
    <row r="74" spans="3:3" x14ac:dyDescent="0.25">
      <c r="C74" s="85"/>
    </row>
    <row r="75" spans="3:3" x14ac:dyDescent="0.25">
      <c r="C75" s="85"/>
    </row>
    <row r="76" spans="3:3" x14ac:dyDescent="0.25">
      <c r="C76" s="85"/>
    </row>
    <row r="77" spans="3:3" x14ac:dyDescent="0.25">
      <c r="C77" s="85"/>
    </row>
    <row r="78" spans="3:3" x14ac:dyDescent="0.25">
      <c r="C78" s="85"/>
    </row>
    <row r="79" spans="3:3" x14ac:dyDescent="0.25">
      <c r="C79" s="85"/>
    </row>
    <row r="80" spans="3:3" x14ac:dyDescent="0.25">
      <c r="C80" s="85"/>
    </row>
    <row r="81" spans="3:3" x14ac:dyDescent="0.25">
      <c r="C81" s="85"/>
    </row>
    <row r="82" spans="3:3" x14ac:dyDescent="0.25">
      <c r="C82" s="85"/>
    </row>
    <row r="83" spans="3:3" x14ac:dyDescent="0.25">
      <c r="C83" s="85"/>
    </row>
    <row r="84" spans="3:3" x14ac:dyDescent="0.25">
      <c r="C84" s="85"/>
    </row>
    <row r="85" spans="3:3" x14ac:dyDescent="0.25">
      <c r="C85" s="85"/>
    </row>
    <row r="86" spans="3:3" x14ac:dyDescent="0.25">
      <c r="C86" s="85"/>
    </row>
    <row r="87" spans="3:3" x14ac:dyDescent="0.25">
      <c r="C87" s="85"/>
    </row>
    <row r="88" spans="3:3" x14ac:dyDescent="0.25">
      <c r="C88" s="85"/>
    </row>
    <row r="89" spans="3:3" x14ac:dyDescent="0.25">
      <c r="C89" s="85"/>
    </row>
    <row r="90" spans="3:3" x14ac:dyDescent="0.25">
      <c r="C90" s="85"/>
    </row>
    <row r="91" spans="3:3" x14ac:dyDescent="0.25">
      <c r="C91" s="85"/>
    </row>
    <row r="92" spans="3:3" x14ac:dyDescent="0.25">
      <c r="C92" s="85"/>
    </row>
    <row r="93" spans="3:3" x14ac:dyDescent="0.25">
      <c r="C93" s="85"/>
    </row>
    <row r="94" spans="3:3" x14ac:dyDescent="0.25">
      <c r="C94" s="85"/>
    </row>
    <row r="95" spans="3:3" x14ac:dyDescent="0.25">
      <c r="C95" s="85"/>
    </row>
    <row r="96" spans="3:3" x14ac:dyDescent="0.25">
      <c r="C96" s="85"/>
    </row>
    <row r="97" spans="3:3" x14ac:dyDescent="0.25">
      <c r="C97" s="85"/>
    </row>
    <row r="98" spans="3:3" x14ac:dyDescent="0.25">
      <c r="C98" s="85"/>
    </row>
    <row r="99" spans="3:3" x14ac:dyDescent="0.25">
      <c r="C99" s="85"/>
    </row>
    <row r="100" spans="3:3" x14ac:dyDescent="0.25">
      <c r="C100" s="85"/>
    </row>
    <row r="101" spans="3:3" x14ac:dyDescent="0.25">
      <c r="C101" s="85"/>
    </row>
    <row r="102" spans="3:3" x14ac:dyDescent="0.25">
      <c r="C102" s="85"/>
    </row>
    <row r="103" spans="3:3" x14ac:dyDescent="0.25">
      <c r="C103" s="85"/>
    </row>
    <row r="104" spans="3:3" x14ac:dyDescent="0.25">
      <c r="C104" s="85"/>
    </row>
    <row r="105" spans="3:3" x14ac:dyDescent="0.25">
      <c r="C105" s="85"/>
    </row>
    <row r="106" spans="3:3" x14ac:dyDescent="0.25">
      <c r="C106" s="85"/>
    </row>
    <row r="107" spans="3:3" x14ac:dyDescent="0.25">
      <c r="C107" s="85"/>
    </row>
    <row r="108" spans="3:3" x14ac:dyDescent="0.25">
      <c r="C108" s="85"/>
    </row>
    <row r="109" spans="3:3" x14ac:dyDescent="0.25">
      <c r="C109" s="85"/>
    </row>
    <row r="110" spans="3:3" x14ac:dyDescent="0.25">
      <c r="C110" s="85"/>
    </row>
    <row r="111" spans="3:3" x14ac:dyDescent="0.25">
      <c r="C111" s="85"/>
    </row>
    <row r="112" spans="3:3" x14ac:dyDescent="0.25">
      <c r="C112" s="85"/>
    </row>
    <row r="113" spans="3:3" x14ac:dyDescent="0.25">
      <c r="C113" s="85"/>
    </row>
    <row r="114" spans="3:3" x14ac:dyDescent="0.25">
      <c r="C114" s="85"/>
    </row>
    <row r="115" spans="3:3" x14ac:dyDescent="0.25">
      <c r="C115" s="85"/>
    </row>
    <row r="116" spans="3:3" x14ac:dyDescent="0.25">
      <c r="C116" s="85"/>
    </row>
    <row r="117" spans="3:3" x14ac:dyDescent="0.25">
      <c r="C117" s="85"/>
    </row>
    <row r="118" spans="3:3" x14ac:dyDescent="0.25">
      <c r="C118" s="85"/>
    </row>
    <row r="119" spans="3:3" x14ac:dyDescent="0.25">
      <c r="C119" s="85"/>
    </row>
    <row r="120" spans="3:3" x14ac:dyDescent="0.25">
      <c r="C120" s="85"/>
    </row>
    <row r="121" spans="3:3" x14ac:dyDescent="0.25">
      <c r="C121" s="85"/>
    </row>
    <row r="122" spans="3:3" x14ac:dyDescent="0.25">
      <c r="C122" s="85"/>
    </row>
    <row r="123" spans="3:3" x14ac:dyDescent="0.25">
      <c r="C123" s="85"/>
    </row>
    <row r="124" spans="3:3" x14ac:dyDescent="0.25">
      <c r="C124" s="85"/>
    </row>
    <row r="125" spans="3:3" x14ac:dyDescent="0.25">
      <c r="C125" s="85"/>
    </row>
    <row r="126" spans="3:3" x14ac:dyDescent="0.25">
      <c r="C126" s="85"/>
    </row>
    <row r="127" spans="3:3" x14ac:dyDescent="0.25">
      <c r="C127" s="85"/>
    </row>
    <row r="128" spans="3:3" x14ac:dyDescent="0.25">
      <c r="C128" s="85"/>
    </row>
    <row r="129" spans="3:3" x14ac:dyDescent="0.25">
      <c r="C129" s="85"/>
    </row>
    <row r="130" spans="3:3" x14ac:dyDescent="0.25">
      <c r="C130" s="85"/>
    </row>
    <row r="131" spans="3:3" x14ac:dyDescent="0.25">
      <c r="C131" s="85"/>
    </row>
    <row r="132" spans="3:3" x14ac:dyDescent="0.25">
      <c r="C132" s="85"/>
    </row>
    <row r="133" spans="3:3" x14ac:dyDescent="0.25">
      <c r="C133" s="85"/>
    </row>
    <row r="134" spans="3:3" x14ac:dyDescent="0.25">
      <c r="C134" s="85"/>
    </row>
    <row r="135" spans="3:3" x14ac:dyDescent="0.25">
      <c r="C135" s="85"/>
    </row>
    <row r="136" spans="3:3" x14ac:dyDescent="0.25">
      <c r="C136" s="85"/>
    </row>
    <row r="137" spans="3:3" x14ac:dyDescent="0.25">
      <c r="C137" s="85"/>
    </row>
    <row r="138" spans="3:3" x14ac:dyDescent="0.25">
      <c r="C138" s="85"/>
    </row>
    <row r="139" spans="3:3" x14ac:dyDescent="0.25">
      <c r="C139" s="85"/>
    </row>
    <row r="140" spans="3:3" x14ac:dyDescent="0.25">
      <c r="C140" s="85"/>
    </row>
    <row r="141" spans="3:3" x14ac:dyDescent="0.25">
      <c r="C141" s="85"/>
    </row>
    <row r="142" spans="3:3" x14ac:dyDescent="0.25">
      <c r="C142" s="85"/>
    </row>
    <row r="143" spans="3:3" x14ac:dyDescent="0.25">
      <c r="C143" s="85"/>
    </row>
    <row r="144" spans="3:3" x14ac:dyDescent="0.25">
      <c r="C144" s="85"/>
    </row>
    <row r="145" spans="3:3" x14ac:dyDescent="0.25">
      <c r="C145" s="85"/>
    </row>
    <row r="146" spans="3:3" x14ac:dyDescent="0.25">
      <c r="C146" s="85"/>
    </row>
    <row r="147" spans="3:3" x14ac:dyDescent="0.25">
      <c r="C147" s="85"/>
    </row>
    <row r="148" spans="3:3" x14ac:dyDescent="0.25">
      <c r="C148" s="85"/>
    </row>
    <row r="149" spans="3:3" x14ac:dyDescent="0.25">
      <c r="C149" s="85"/>
    </row>
    <row r="150" spans="3:3" x14ac:dyDescent="0.25">
      <c r="C150" s="85"/>
    </row>
    <row r="151" spans="3:3" x14ac:dyDescent="0.25">
      <c r="C151" s="85"/>
    </row>
    <row r="152" spans="3:3" x14ac:dyDescent="0.25">
      <c r="C152" s="85"/>
    </row>
    <row r="153" spans="3:3" x14ac:dyDescent="0.25">
      <c r="C153" s="85"/>
    </row>
    <row r="154" spans="3:3" x14ac:dyDescent="0.25">
      <c r="C154" s="85"/>
    </row>
    <row r="155" spans="3:3" x14ac:dyDescent="0.25">
      <c r="C155" s="85"/>
    </row>
    <row r="156" spans="3:3" x14ac:dyDescent="0.25">
      <c r="C156" s="85"/>
    </row>
    <row r="157" spans="3:3" x14ac:dyDescent="0.25">
      <c r="C157" s="85"/>
    </row>
    <row r="158" spans="3:3" x14ac:dyDescent="0.25">
      <c r="C158" s="85"/>
    </row>
    <row r="159" spans="3:3" x14ac:dyDescent="0.25">
      <c r="C159" s="85"/>
    </row>
    <row r="160" spans="3:3" x14ac:dyDescent="0.25">
      <c r="C160" s="85"/>
    </row>
    <row r="161" spans="3:3" x14ac:dyDescent="0.25">
      <c r="C161" s="85"/>
    </row>
    <row r="162" spans="3:3" x14ac:dyDescent="0.25">
      <c r="C162" s="85"/>
    </row>
    <row r="163" spans="3:3" x14ac:dyDescent="0.25">
      <c r="C163" s="85"/>
    </row>
    <row r="164" spans="3:3" x14ac:dyDescent="0.25">
      <c r="C164" s="85"/>
    </row>
    <row r="165" spans="3:3" x14ac:dyDescent="0.25">
      <c r="C165" s="85"/>
    </row>
    <row r="166" spans="3:3" x14ac:dyDescent="0.25">
      <c r="C166" s="85"/>
    </row>
    <row r="167" spans="3:3" x14ac:dyDescent="0.25">
      <c r="C167" s="85"/>
    </row>
    <row r="168" spans="3:3" x14ac:dyDescent="0.25">
      <c r="C168" s="85"/>
    </row>
    <row r="169" spans="3:3" x14ac:dyDescent="0.25">
      <c r="C169" s="85"/>
    </row>
    <row r="170" spans="3:3" x14ac:dyDescent="0.25">
      <c r="C170" s="85"/>
    </row>
    <row r="171" spans="3:3" x14ac:dyDescent="0.25">
      <c r="C171" s="85"/>
    </row>
    <row r="172" spans="3:3" x14ac:dyDescent="0.25">
      <c r="C172" s="85"/>
    </row>
    <row r="173" spans="3:3" x14ac:dyDescent="0.25">
      <c r="C173" s="85"/>
    </row>
    <row r="174" spans="3:3" x14ac:dyDescent="0.25">
      <c r="C174" s="85"/>
    </row>
    <row r="175" spans="3:3" x14ac:dyDescent="0.25">
      <c r="C175" s="85"/>
    </row>
    <row r="176" spans="3:3" x14ac:dyDescent="0.25">
      <c r="C176" s="85"/>
    </row>
    <row r="177" spans="3:3" x14ac:dyDescent="0.25">
      <c r="C177" s="85"/>
    </row>
    <row r="178" spans="3:3" x14ac:dyDescent="0.25">
      <c r="C178" s="85"/>
    </row>
    <row r="179" spans="3:3" x14ac:dyDescent="0.25">
      <c r="C179" s="85"/>
    </row>
    <row r="180" spans="3:3" x14ac:dyDescent="0.25">
      <c r="C180" s="85"/>
    </row>
    <row r="181" spans="3:3" x14ac:dyDescent="0.25">
      <c r="C181" s="85"/>
    </row>
    <row r="182" spans="3:3" x14ac:dyDescent="0.25">
      <c r="C182" s="85"/>
    </row>
    <row r="183" spans="3:3" x14ac:dyDescent="0.25">
      <c r="C183" s="85"/>
    </row>
    <row r="184" spans="3:3" x14ac:dyDescent="0.25">
      <c r="C184" s="85"/>
    </row>
    <row r="185" spans="3:3" x14ac:dyDescent="0.25">
      <c r="C185" s="85"/>
    </row>
    <row r="186" spans="3:3" x14ac:dyDescent="0.25">
      <c r="C186" s="85"/>
    </row>
    <row r="187" spans="3:3" x14ac:dyDescent="0.25">
      <c r="C187" s="85"/>
    </row>
    <row r="188" spans="3:3" x14ac:dyDescent="0.25">
      <c r="C188" s="85"/>
    </row>
    <row r="189" spans="3:3" x14ac:dyDescent="0.25">
      <c r="C189" s="85"/>
    </row>
    <row r="190" spans="3:3" x14ac:dyDescent="0.25">
      <c r="C190" s="85"/>
    </row>
    <row r="191" spans="3:3" x14ac:dyDescent="0.25">
      <c r="C191" s="85"/>
    </row>
    <row r="192" spans="3:3" x14ac:dyDescent="0.25">
      <c r="C192" s="85"/>
    </row>
    <row r="193" spans="3:3" x14ac:dyDescent="0.25">
      <c r="C193" s="85"/>
    </row>
    <row r="194" spans="3:3" x14ac:dyDescent="0.25">
      <c r="C194" s="85"/>
    </row>
    <row r="195" spans="3:3" x14ac:dyDescent="0.25">
      <c r="C195" s="85"/>
    </row>
    <row r="196" spans="3:3" x14ac:dyDescent="0.25">
      <c r="C196" s="85"/>
    </row>
    <row r="197" spans="3:3" x14ac:dyDescent="0.25">
      <c r="C197" s="85"/>
    </row>
    <row r="198" spans="3:3" x14ac:dyDescent="0.25">
      <c r="C198" s="85"/>
    </row>
    <row r="199" spans="3:3" x14ac:dyDescent="0.25">
      <c r="C199" s="85"/>
    </row>
    <row r="200" spans="3:3" x14ac:dyDescent="0.25">
      <c r="C200" s="85"/>
    </row>
    <row r="201" spans="3:3" x14ac:dyDescent="0.25">
      <c r="C201" s="85"/>
    </row>
    <row r="202" spans="3:3" x14ac:dyDescent="0.25">
      <c r="C202" s="85"/>
    </row>
    <row r="203" spans="3:3" x14ac:dyDescent="0.25">
      <c r="C203" s="85"/>
    </row>
    <row r="204" spans="3:3" x14ac:dyDescent="0.25">
      <c r="C204" s="85"/>
    </row>
    <row r="205" spans="3:3" x14ac:dyDescent="0.25">
      <c r="C205" s="85"/>
    </row>
    <row r="206" spans="3:3" x14ac:dyDescent="0.25">
      <c r="C206" s="85"/>
    </row>
    <row r="207" spans="3:3" x14ac:dyDescent="0.25">
      <c r="C207" s="85"/>
    </row>
    <row r="208" spans="3:3" x14ac:dyDescent="0.25">
      <c r="C208" s="85"/>
    </row>
    <row r="209" spans="3:3" x14ac:dyDescent="0.25">
      <c r="C209" s="85"/>
    </row>
    <row r="210" spans="3:3" x14ac:dyDescent="0.25">
      <c r="C210" s="85"/>
    </row>
    <row r="211" spans="3:3" x14ac:dyDescent="0.25">
      <c r="C211" s="85"/>
    </row>
    <row r="212" spans="3:3" x14ac:dyDescent="0.25">
      <c r="C212" s="85"/>
    </row>
    <row r="213" spans="3:3" x14ac:dyDescent="0.25">
      <c r="C213" s="85"/>
    </row>
    <row r="214" spans="3:3" x14ac:dyDescent="0.25">
      <c r="C214" s="85"/>
    </row>
    <row r="215" spans="3:3" x14ac:dyDescent="0.25">
      <c r="C215" s="85"/>
    </row>
    <row r="216" spans="3:3" x14ac:dyDescent="0.25">
      <c r="C216" s="85"/>
    </row>
    <row r="217" spans="3:3" x14ac:dyDescent="0.25">
      <c r="C217" s="85"/>
    </row>
    <row r="218" spans="3:3" x14ac:dyDescent="0.25">
      <c r="C218" s="85"/>
    </row>
    <row r="219" spans="3:3" x14ac:dyDescent="0.25">
      <c r="C219" s="85"/>
    </row>
    <row r="220" spans="3:3" x14ac:dyDescent="0.25">
      <c r="C220" s="85"/>
    </row>
    <row r="221" spans="3:3" x14ac:dyDescent="0.25">
      <c r="C221" s="85"/>
    </row>
    <row r="222" spans="3:3" x14ac:dyDescent="0.25">
      <c r="C222" s="85"/>
    </row>
    <row r="223" spans="3:3" x14ac:dyDescent="0.25">
      <c r="C223" s="85"/>
    </row>
    <row r="224" spans="3:3" x14ac:dyDescent="0.25">
      <c r="C224" s="85"/>
    </row>
    <row r="225" spans="3:3" x14ac:dyDescent="0.25">
      <c r="C225" s="85"/>
    </row>
    <row r="226" spans="3:3" x14ac:dyDescent="0.25">
      <c r="C226" s="85"/>
    </row>
    <row r="227" spans="3:3" x14ac:dyDescent="0.25">
      <c r="C227" s="85"/>
    </row>
    <row r="228" spans="3:3" x14ac:dyDescent="0.25">
      <c r="C228" s="85"/>
    </row>
    <row r="229" spans="3:3" x14ac:dyDescent="0.25">
      <c r="C229" s="85"/>
    </row>
    <row r="230" spans="3:3" x14ac:dyDescent="0.25">
      <c r="C230" s="85"/>
    </row>
    <row r="231" spans="3:3" x14ac:dyDescent="0.25">
      <c r="C231" s="85"/>
    </row>
    <row r="232" spans="3:3" x14ac:dyDescent="0.25">
      <c r="C232" s="85"/>
    </row>
    <row r="233" spans="3:3" x14ac:dyDescent="0.25">
      <c r="C233" s="85"/>
    </row>
    <row r="234" spans="3:3" x14ac:dyDescent="0.25">
      <c r="C234" s="85"/>
    </row>
    <row r="235" spans="3:3" x14ac:dyDescent="0.25">
      <c r="C235" s="85"/>
    </row>
    <row r="236" spans="3:3" x14ac:dyDescent="0.25">
      <c r="C236" s="85"/>
    </row>
    <row r="237" spans="3:3" x14ac:dyDescent="0.25">
      <c r="C237" s="85"/>
    </row>
    <row r="238" spans="3:3" x14ac:dyDescent="0.25">
      <c r="C238" s="85"/>
    </row>
    <row r="239" spans="3:3" x14ac:dyDescent="0.25">
      <c r="C239" s="85"/>
    </row>
    <row r="240" spans="3:3" x14ac:dyDescent="0.25">
      <c r="C240" s="85"/>
    </row>
    <row r="241" spans="3:3" x14ac:dyDescent="0.25">
      <c r="C241" s="85"/>
    </row>
    <row r="242" spans="3:3" x14ac:dyDescent="0.25">
      <c r="C242" s="85"/>
    </row>
    <row r="243" spans="3:3" x14ac:dyDescent="0.25">
      <c r="C243" s="85"/>
    </row>
    <row r="244" spans="3:3" x14ac:dyDescent="0.25">
      <c r="C244" s="85"/>
    </row>
    <row r="245" spans="3:3" x14ac:dyDescent="0.25">
      <c r="C245" s="85"/>
    </row>
    <row r="246" spans="3:3" x14ac:dyDescent="0.25">
      <c r="C246" s="85"/>
    </row>
    <row r="247" spans="3:3" x14ac:dyDescent="0.25">
      <c r="C247" s="85"/>
    </row>
    <row r="248" spans="3:3" x14ac:dyDescent="0.25">
      <c r="C248" s="85"/>
    </row>
    <row r="249" spans="3:3" x14ac:dyDescent="0.25">
      <c r="C249" s="85"/>
    </row>
    <row r="250" spans="3:3" x14ac:dyDescent="0.25">
      <c r="C250" s="85"/>
    </row>
    <row r="251" spans="3:3" x14ac:dyDescent="0.25">
      <c r="C251" s="85"/>
    </row>
    <row r="252" spans="3:3" x14ac:dyDescent="0.25">
      <c r="C252" s="85"/>
    </row>
    <row r="253" spans="3:3" x14ac:dyDescent="0.25">
      <c r="C253" s="85"/>
    </row>
    <row r="254" spans="3:3" x14ac:dyDescent="0.25">
      <c r="C254" s="85"/>
    </row>
    <row r="255" spans="3:3" x14ac:dyDescent="0.25">
      <c r="C255" s="85"/>
    </row>
    <row r="256" spans="3:3" x14ac:dyDescent="0.25">
      <c r="C256" s="85"/>
    </row>
    <row r="257" spans="3:3" x14ac:dyDescent="0.25">
      <c r="C257" s="85"/>
    </row>
    <row r="258" spans="3:3" x14ac:dyDescent="0.25">
      <c r="C258" s="85"/>
    </row>
    <row r="259" spans="3:3" x14ac:dyDescent="0.25">
      <c r="C259" s="85"/>
    </row>
    <row r="260" spans="3:3" x14ac:dyDescent="0.25">
      <c r="C260" s="85"/>
    </row>
    <row r="261" spans="3:3" x14ac:dyDescent="0.25">
      <c r="C261" s="85"/>
    </row>
    <row r="262" spans="3:3" x14ac:dyDescent="0.25">
      <c r="C262" s="85"/>
    </row>
    <row r="263" spans="3:3" x14ac:dyDescent="0.25">
      <c r="C263" s="85"/>
    </row>
    <row r="264" spans="3:3" x14ac:dyDescent="0.25">
      <c r="C264" s="85"/>
    </row>
    <row r="265" spans="3:3" x14ac:dyDescent="0.25">
      <c r="C265" s="85"/>
    </row>
    <row r="266" spans="3:3" x14ac:dyDescent="0.25">
      <c r="C266" s="85"/>
    </row>
    <row r="267" spans="3:3" x14ac:dyDescent="0.25">
      <c r="C267" s="85"/>
    </row>
    <row r="268" spans="3:3" x14ac:dyDescent="0.25">
      <c r="C268" s="85"/>
    </row>
    <row r="269" spans="3:3" x14ac:dyDescent="0.25">
      <c r="C269" s="85"/>
    </row>
    <row r="270" spans="3:3" x14ac:dyDescent="0.25">
      <c r="C270" s="85"/>
    </row>
    <row r="271" spans="3:3" x14ac:dyDescent="0.25">
      <c r="C271" s="85"/>
    </row>
    <row r="272" spans="3:3" x14ac:dyDescent="0.25">
      <c r="C272" s="85"/>
    </row>
    <row r="273" spans="3:3" x14ac:dyDescent="0.25">
      <c r="C273" s="85"/>
    </row>
    <row r="274" spans="3:3" x14ac:dyDescent="0.25">
      <c r="C274" s="85"/>
    </row>
    <row r="275" spans="3:3" x14ac:dyDescent="0.25">
      <c r="C275" s="85"/>
    </row>
    <row r="276" spans="3:3" x14ac:dyDescent="0.25">
      <c r="C276" s="85"/>
    </row>
    <row r="277" spans="3:3" x14ac:dyDescent="0.25">
      <c r="C277" s="85"/>
    </row>
    <row r="278" spans="3:3" x14ac:dyDescent="0.25">
      <c r="C278" s="85"/>
    </row>
    <row r="279" spans="3:3" x14ac:dyDescent="0.25">
      <c r="C279" s="85"/>
    </row>
    <row r="280" spans="3:3" x14ac:dyDescent="0.25">
      <c r="C280" s="85"/>
    </row>
    <row r="281" spans="3:3" x14ac:dyDescent="0.25">
      <c r="C281" s="85"/>
    </row>
    <row r="282" spans="3:3" x14ac:dyDescent="0.25">
      <c r="C282" s="85"/>
    </row>
    <row r="283" spans="3:3" x14ac:dyDescent="0.25">
      <c r="C283" s="85"/>
    </row>
    <row r="284" spans="3:3" x14ac:dyDescent="0.25">
      <c r="C284" s="85"/>
    </row>
    <row r="285" spans="3:3" x14ac:dyDescent="0.25">
      <c r="C285" s="85"/>
    </row>
    <row r="286" spans="3:3" x14ac:dyDescent="0.25">
      <c r="C286" s="85"/>
    </row>
    <row r="287" spans="3:3" x14ac:dyDescent="0.25">
      <c r="C287" s="85"/>
    </row>
    <row r="288" spans="3:3" x14ac:dyDescent="0.25">
      <c r="C288" s="85"/>
    </row>
    <row r="289" spans="3:3" x14ac:dyDescent="0.25">
      <c r="C289" s="85"/>
    </row>
    <row r="290" spans="3:3" x14ac:dyDescent="0.25">
      <c r="C290" s="85"/>
    </row>
    <row r="291" spans="3:3" x14ac:dyDescent="0.25">
      <c r="C291" s="85"/>
    </row>
    <row r="292" spans="3:3" x14ac:dyDescent="0.25">
      <c r="C292" s="85"/>
    </row>
    <row r="293" spans="3:3" x14ac:dyDescent="0.25">
      <c r="C293" s="85"/>
    </row>
    <row r="294" spans="3:3" x14ac:dyDescent="0.25">
      <c r="C294" s="85"/>
    </row>
    <row r="295" spans="3:3" x14ac:dyDescent="0.25">
      <c r="C295" s="85"/>
    </row>
    <row r="296" spans="3:3" x14ac:dyDescent="0.25">
      <c r="C296" s="85"/>
    </row>
    <row r="297" spans="3:3" x14ac:dyDescent="0.25">
      <c r="C297" s="85"/>
    </row>
    <row r="298" spans="3:3" x14ac:dyDescent="0.25">
      <c r="C298" s="85"/>
    </row>
    <row r="299" spans="3:3" x14ac:dyDescent="0.25">
      <c r="C299" s="85"/>
    </row>
    <row r="300" spans="3:3" x14ac:dyDescent="0.25">
      <c r="C300" s="85"/>
    </row>
  </sheetData>
  <sheetProtection algorithmName="SHA-512" hashValue="08WXuUJu3TCZnr+avOuHf+R5dtVvJqe2qbLDSL/z70lqrPrGGYJkRMenwtPFZCdgLySkH6hF3wZk8ilrFwrDrA==" saltValue="tfL655ow/5wqsqrVXO53ng==" spinCount="100000" sheet="1" objects="1" scenarios="1" selectLockedCells="1"/>
  <mergeCells count="50">
    <mergeCell ref="J6:L6"/>
    <mergeCell ref="J7:L7"/>
    <mergeCell ref="J8:L8"/>
    <mergeCell ref="B7:C7"/>
    <mergeCell ref="D7:F7"/>
    <mergeCell ref="D6:F6"/>
    <mergeCell ref="G6:I6"/>
    <mergeCell ref="G7:I7"/>
    <mergeCell ref="C1:K1"/>
    <mergeCell ref="B3:C3"/>
    <mergeCell ref="D3:F3"/>
    <mergeCell ref="B5:C5"/>
    <mergeCell ref="D5:F5"/>
    <mergeCell ref="D4:F4"/>
    <mergeCell ref="G3:I3"/>
    <mergeCell ref="J3:L3"/>
    <mergeCell ref="J4:L4"/>
    <mergeCell ref="G4:I4"/>
    <mergeCell ref="G5:I5"/>
    <mergeCell ref="J5:L5"/>
    <mergeCell ref="B24:C24"/>
    <mergeCell ref="B15:C16"/>
    <mergeCell ref="D15:F15"/>
    <mergeCell ref="G15:I15"/>
    <mergeCell ref="J15:K15"/>
    <mergeCell ref="B18:C19"/>
    <mergeCell ref="D18:F18"/>
    <mergeCell ref="G18:I18"/>
    <mergeCell ref="J18:K18"/>
    <mergeCell ref="F31:H31"/>
    <mergeCell ref="D28:E28"/>
    <mergeCell ref="D30:E30"/>
    <mergeCell ref="F28:H28"/>
    <mergeCell ref="F30:H30"/>
    <mergeCell ref="M28:N28"/>
    <mergeCell ref="M29:N29"/>
    <mergeCell ref="D8:F8"/>
    <mergeCell ref="D27:F27"/>
    <mergeCell ref="F29:H29"/>
    <mergeCell ref="D26:F26"/>
    <mergeCell ref="A9:Q9"/>
    <mergeCell ref="D11:K11"/>
    <mergeCell ref="B12:C13"/>
    <mergeCell ref="D12:F12"/>
    <mergeCell ref="G12:I12"/>
    <mergeCell ref="J12:K12"/>
    <mergeCell ref="B21:C22"/>
    <mergeCell ref="D21:F21"/>
    <mergeCell ref="G21:I21"/>
    <mergeCell ref="J21:K21"/>
  </mergeCells>
  <dataValidations count="2">
    <dataValidation type="decimal" allowBlank="1" showInputMessage="1" showErrorMessage="1" errorTitle="Алдаа" error="Зөвхөн тоо оруулна уу!!!" sqref="N24:Q24 D24:L24">
      <formula1>0</formula1>
      <formula2>9.99999999999999E+31</formula2>
    </dataValidation>
    <dataValidation type="decimal" allowBlank="1" showInputMessage="1" showErrorMessage="1" errorTitle="Алдаа" error="Зөвхөн тоо оруулна уу!!!" sqref="D17:L17 D20:L20 D23:L23 N17:Q17 N20:Q20 N23:Q23 N14:Q14 D14:L14">
      <formula1>-9.99999999999999E+32</formula1>
      <formula2>9.99999999999999E+31</formula2>
    </dataValidation>
  </dataValidations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eorep7_add_main_row1">
                <anchor moveWithCells="1" sizeWithCells="1">
                  <from>
                    <xdr:col>0</xdr:col>
                    <xdr:colOff>133350</xdr:colOff>
                    <xdr:row>13</xdr:row>
                    <xdr:rowOff>28575</xdr:rowOff>
                  </from>
                  <to>
                    <xdr:col>0</xdr:col>
                    <xdr:colOff>323850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georep7_add_main_row2_3">
                <anchor moveWithCells="1" sizeWithCells="1">
                  <from>
                    <xdr:col>0</xdr:col>
                    <xdr:colOff>133350</xdr:colOff>
                    <xdr:row>16</xdr:row>
                    <xdr:rowOff>19050</xdr:rowOff>
                  </from>
                  <to>
                    <xdr:col>0</xdr:col>
                    <xdr:colOff>323850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georep7_add_main_row2_3">
                <anchor moveWithCells="1" sizeWithCells="1">
                  <from>
                    <xdr:col>0</xdr:col>
                    <xdr:colOff>133350</xdr:colOff>
                    <xdr:row>19</xdr:row>
                    <xdr:rowOff>28575</xdr:rowOff>
                  </from>
                  <to>
                    <xdr:col>0</xdr:col>
                    <xdr:colOff>323850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georep7_add_main_row4">
                <anchor moveWithCells="1" sizeWithCells="1">
                  <from>
                    <xdr:col>0</xdr:col>
                    <xdr:colOff>133350</xdr:colOff>
                    <xdr:row>22</xdr:row>
                    <xdr:rowOff>19050</xdr:rowOff>
                  </from>
                  <to>
                    <xdr:col>0</xdr:col>
                    <xdr:colOff>323850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Z292"/>
  <sheetViews>
    <sheetView showGridLines="0" zoomScaleNormal="100" workbookViewId="0">
      <selection activeCell="F22" sqref="F22:G22"/>
    </sheetView>
  </sheetViews>
  <sheetFormatPr defaultRowHeight="14.25" x14ac:dyDescent="0.25"/>
  <cols>
    <col min="1" max="1" width="6.7109375" style="13" customWidth="1"/>
    <col min="2" max="2" width="5" style="13" customWidth="1"/>
    <col min="3" max="3" width="31.140625" style="13" customWidth="1"/>
    <col min="4" max="4" width="16.140625" style="13" customWidth="1"/>
    <col min="5" max="5" width="16.28515625" style="13" customWidth="1"/>
    <col min="6" max="6" width="16.85546875" style="13" customWidth="1"/>
    <col min="7" max="7" width="17.5703125" style="13" customWidth="1"/>
    <col min="8" max="9" width="15.85546875" style="13" customWidth="1"/>
    <col min="10" max="24" width="9.140625" style="13"/>
    <col min="25" max="26" width="9.140625" style="70"/>
    <col min="27" max="28" width="0" style="13" hidden="1" customWidth="1"/>
    <col min="29" max="16384" width="9.140625" style="13"/>
  </cols>
  <sheetData>
    <row r="1" spans="2:26" s="8" customFormat="1" ht="99" customHeight="1" x14ac:dyDescent="0.2">
      <c r="B1" s="9"/>
      <c r="C1" s="145" t="s">
        <v>219</v>
      </c>
      <c r="D1" s="145"/>
      <c r="E1" s="145"/>
      <c r="F1" s="145"/>
      <c r="G1" s="145"/>
      <c r="H1" s="11"/>
      <c r="I1" s="12" t="s">
        <v>156</v>
      </c>
      <c r="J1" s="11"/>
      <c r="K1" s="11"/>
      <c r="L1" s="11"/>
    </row>
    <row r="2" spans="2:26" ht="18" customHeight="1" x14ac:dyDescent="0.25">
      <c r="B2" s="132" t="s">
        <v>8</v>
      </c>
      <c r="C2" s="132"/>
      <c r="D2" s="140"/>
      <c r="E2" s="140"/>
      <c r="F2" s="185"/>
      <c r="G2" s="185"/>
      <c r="H2" s="185"/>
      <c r="I2" s="185"/>
    </row>
    <row r="3" spans="2:26" s="91" customFormat="1" ht="8.25" customHeight="1" x14ac:dyDescent="0.25">
      <c r="B3" s="92"/>
      <c r="C3" s="92"/>
      <c r="D3" s="126" t="s">
        <v>230</v>
      </c>
      <c r="E3" s="126"/>
      <c r="F3" s="39"/>
      <c r="G3" s="39"/>
      <c r="H3" s="186"/>
      <c r="I3" s="186"/>
      <c r="Y3" s="70"/>
      <c r="Z3" s="70"/>
    </row>
    <row r="4" spans="2:26" s="7" customFormat="1" ht="18" customHeight="1" x14ac:dyDescent="0.25">
      <c r="B4" s="132" t="s">
        <v>225</v>
      </c>
      <c r="C4" s="132"/>
      <c r="D4" s="140"/>
      <c r="E4" s="140"/>
      <c r="F4" s="185"/>
      <c r="G4" s="185"/>
      <c r="H4" s="185"/>
      <c r="I4" s="185"/>
      <c r="Y4" s="76"/>
      <c r="Z4" s="76"/>
    </row>
    <row r="5" spans="2:26" s="92" customFormat="1" ht="8.25" customHeight="1" x14ac:dyDescent="0.25">
      <c r="D5" s="126" t="s">
        <v>231</v>
      </c>
      <c r="E5" s="126"/>
      <c r="F5" s="185"/>
      <c r="G5" s="185"/>
      <c r="H5" s="186"/>
      <c r="I5" s="186"/>
      <c r="Y5" s="76"/>
      <c r="Z5" s="76"/>
    </row>
    <row r="6" spans="2:26" ht="18" customHeight="1" x14ac:dyDescent="0.25">
      <c r="B6" s="132" t="s">
        <v>222</v>
      </c>
      <c r="C6" s="132"/>
      <c r="D6" s="140"/>
      <c r="E6" s="140"/>
      <c r="F6" s="185"/>
      <c r="G6" s="185"/>
      <c r="H6" s="185"/>
      <c r="I6" s="185"/>
    </row>
    <row r="7" spans="2:26" s="91" customFormat="1" ht="8.25" customHeight="1" x14ac:dyDescent="0.25">
      <c r="B7" s="92"/>
      <c r="C7" s="92"/>
      <c r="D7" s="126" t="s">
        <v>232</v>
      </c>
      <c r="E7" s="126"/>
      <c r="F7" s="185"/>
      <c r="G7" s="185"/>
      <c r="H7" s="186"/>
      <c r="I7" s="186"/>
      <c r="Y7" s="70"/>
      <c r="Z7" s="70"/>
    </row>
    <row r="8" spans="2:26" ht="60" customHeight="1" x14ac:dyDescent="0.25">
      <c r="B8" s="184" t="s">
        <v>190</v>
      </c>
      <c r="C8" s="184"/>
      <c r="D8" s="184"/>
      <c r="E8" s="184"/>
      <c r="F8" s="184"/>
      <c r="G8" s="184"/>
      <c r="H8" s="184"/>
      <c r="I8" s="184"/>
      <c r="J8" s="71"/>
      <c r="K8" s="71"/>
      <c r="L8" s="71"/>
    </row>
    <row r="9" spans="2:26" ht="30" customHeight="1" x14ac:dyDescent="0.25">
      <c r="B9" s="139" t="s">
        <v>0</v>
      </c>
      <c r="C9" s="139" t="s">
        <v>185</v>
      </c>
      <c r="D9" s="139" t="s">
        <v>157</v>
      </c>
      <c r="E9" s="139"/>
      <c r="F9" s="139" t="s">
        <v>158</v>
      </c>
      <c r="G9" s="139"/>
      <c r="H9" s="139" t="s">
        <v>159</v>
      </c>
      <c r="I9" s="139"/>
    </row>
    <row r="10" spans="2:26" ht="15" x14ac:dyDescent="0.25">
      <c r="B10" s="139"/>
      <c r="C10" s="139"/>
      <c r="D10" s="15" t="s">
        <v>160</v>
      </c>
      <c r="E10" s="15" t="s">
        <v>161</v>
      </c>
      <c r="F10" s="15" t="s">
        <v>160</v>
      </c>
      <c r="G10" s="15" t="s">
        <v>161</v>
      </c>
      <c r="H10" s="15" t="s">
        <v>160</v>
      </c>
      <c r="I10" s="15" t="s">
        <v>161</v>
      </c>
    </row>
    <row r="11" spans="2:26" ht="15" x14ac:dyDescent="0.25">
      <c r="B11" s="24">
        <f ca="1">OFFSET($B11,-1,0,1,1)+1</f>
        <v>1</v>
      </c>
      <c r="C11" s="14" t="s">
        <v>162</v>
      </c>
      <c r="D11" s="15">
        <f>SUM(D13:D14)</f>
        <v>0</v>
      </c>
      <c r="E11" s="15">
        <f t="shared" ref="E11:I11" si="0">SUM(E13:E14)</f>
        <v>0</v>
      </c>
      <c r="F11" s="15">
        <f t="shared" si="0"/>
        <v>0</v>
      </c>
      <c r="G11" s="15">
        <f t="shared" si="0"/>
        <v>0</v>
      </c>
      <c r="H11" s="15">
        <f t="shared" si="0"/>
        <v>0</v>
      </c>
      <c r="I11" s="15">
        <f t="shared" si="0"/>
        <v>0</v>
      </c>
    </row>
    <row r="12" spans="2:26" ht="15" x14ac:dyDescent="0.25">
      <c r="B12" s="24">
        <f t="shared" ref="B12:B14" ca="1" si="1">OFFSET($B12,-1,0,1,1)+1</f>
        <v>2</v>
      </c>
      <c r="C12" s="14" t="s">
        <v>163</v>
      </c>
      <c r="D12" s="49"/>
      <c r="E12" s="50"/>
      <c r="F12" s="50"/>
      <c r="G12" s="50"/>
      <c r="H12" s="50"/>
      <c r="I12" s="72"/>
    </row>
    <row r="13" spans="2:26" ht="15" x14ac:dyDescent="0.25">
      <c r="B13" s="24">
        <f t="shared" ca="1" si="1"/>
        <v>3</v>
      </c>
      <c r="C13" s="14" t="s">
        <v>191</v>
      </c>
      <c r="D13" s="73"/>
      <c r="E13" s="73"/>
      <c r="F13" s="73"/>
      <c r="G13" s="73"/>
      <c r="H13" s="73"/>
      <c r="I13" s="23"/>
    </row>
    <row r="14" spans="2:26" ht="15" x14ac:dyDescent="0.25">
      <c r="B14" s="24">
        <f t="shared" ca="1" si="1"/>
        <v>4</v>
      </c>
      <c r="C14" s="14" t="s">
        <v>192</v>
      </c>
      <c r="D14" s="73"/>
      <c r="E14" s="73"/>
      <c r="F14" s="73"/>
      <c r="G14" s="73"/>
      <c r="H14" s="73"/>
      <c r="I14" s="23"/>
    </row>
    <row r="15" spans="2:26" ht="15" x14ac:dyDescent="0.25">
      <c r="B15" s="43"/>
      <c r="C15" s="74"/>
      <c r="D15" s="75"/>
      <c r="E15" s="75"/>
      <c r="F15" s="75"/>
      <c r="G15" s="75"/>
      <c r="H15" s="75"/>
      <c r="I15" s="43"/>
    </row>
    <row r="16" spans="2:26" ht="15" x14ac:dyDescent="0.25">
      <c r="B16" s="43"/>
      <c r="C16" s="74"/>
      <c r="D16" s="75"/>
      <c r="E16" s="75"/>
      <c r="F16" s="75"/>
      <c r="G16" s="75"/>
      <c r="H16" s="75"/>
      <c r="I16" s="43"/>
    </row>
    <row r="17" spans="2:9" ht="15" x14ac:dyDescent="0.25">
      <c r="B17" s="43"/>
      <c r="C17" s="74"/>
      <c r="D17" s="75"/>
      <c r="E17" s="75"/>
      <c r="F17" s="75"/>
      <c r="G17" s="75"/>
      <c r="H17" s="75"/>
      <c r="I17" s="43"/>
    </row>
    <row r="18" spans="2:9" x14ac:dyDescent="0.25">
      <c r="C18" s="7" t="s">
        <v>55</v>
      </c>
      <c r="D18" s="130"/>
      <c r="E18" s="130"/>
    </row>
    <row r="19" spans="2:9" ht="8.25" customHeight="1" x14ac:dyDescent="0.25">
      <c r="C19" s="7"/>
      <c r="D19" s="126" t="s">
        <v>233</v>
      </c>
      <c r="E19" s="126"/>
    </row>
    <row r="20" spans="2:9" x14ac:dyDescent="0.25">
      <c r="C20" s="7" t="s">
        <v>56</v>
      </c>
      <c r="D20" s="132" t="s">
        <v>57</v>
      </c>
      <c r="E20" s="132"/>
      <c r="F20" s="130"/>
      <c r="G20" s="130"/>
    </row>
    <row r="21" spans="2:9" ht="8.25" customHeight="1" x14ac:dyDescent="0.25">
      <c r="C21" s="7"/>
      <c r="D21" s="7"/>
      <c r="E21" s="39"/>
      <c r="F21" s="126" t="s">
        <v>227</v>
      </c>
      <c r="G21" s="126"/>
    </row>
    <row r="22" spans="2:9" x14ac:dyDescent="0.25">
      <c r="C22" s="7"/>
      <c r="D22" s="132" t="s">
        <v>173</v>
      </c>
      <c r="E22" s="132"/>
      <c r="F22" s="183"/>
      <c r="G22" s="183"/>
    </row>
    <row r="23" spans="2:9" ht="8.25" customHeight="1" x14ac:dyDescent="0.25">
      <c r="C23" s="7"/>
      <c r="D23" s="7"/>
      <c r="F23" s="126" t="s">
        <v>238</v>
      </c>
      <c r="G23" s="126"/>
    </row>
    <row r="24" spans="2:9" x14ac:dyDescent="0.25">
      <c r="C24" s="7"/>
    </row>
    <row r="25" spans="2:9" x14ac:dyDescent="0.25">
      <c r="C25" s="7"/>
    </row>
    <row r="26" spans="2:9" x14ac:dyDescent="0.25">
      <c r="C26" s="7"/>
    </row>
    <row r="27" spans="2:9" x14ac:dyDescent="0.25">
      <c r="C27" s="95" t="s">
        <v>240</v>
      </c>
    </row>
    <row r="28" spans="2:9" x14ac:dyDescent="0.25">
      <c r="C28" s="7"/>
    </row>
    <row r="29" spans="2:9" x14ac:dyDescent="0.25">
      <c r="C29" s="7"/>
    </row>
    <row r="30" spans="2:9" x14ac:dyDescent="0.25">
      <c r="C30" s="7"/>
    </row>
    <row r="31" spans="2:9" x14ac:dyDescent="0.25">
      <c r="C31" s="7"/>
    </row>
    <row r="32" spans="2:9" x14ac:dyDescent="0.25">
      <c r="C32" s="7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  <row r="290" spans="3:3" x14ac:dyDescent="0.25">
      <c r="C290" s="7"/>
    </row>
    <row r="291" spans="3:3" x14ac:dyDescent="0.25">
      <c r="C291" s="7"/>
    </row>
    <row r="292" spans="3:3" x14ac:dyDescent="0.25">
      <c r="C292" s="7"/>
    </row>
  </sheetData>
  <sheetProtection algorithmName="SHA-512" hashValue="b00BstN5tVlTCD/MnSu55t9S7pmAtVsfLYp5HhgEQCOhvKZ6Zoj+TnN5u5JcGEI0oFjsDOHVkJE31/Xfi8KssA==" saltValue="4m+r+9vYLZshUPqgPNrWjA==" spinCount="100000" sheet="1" selectLockedCells="1"/>
  <mergeCells count="35">
    <mergeCell ref="H5:I5"/>
    <mergeCell ref="F5:G5"/>
    <mergeCell ref="F6:G6"/>
    <mergeCell ref="H6:I6"/>
    <mergeCell ref="H7:I7"/>
    <mergeCell ref="F7:G7"/>
    <mergeCell ref="F2:G2"/>
    <mergeCell ref="H2:I2"/>
    <mergeCell ref="H3:I3"/>
    <mergeCell ref="F4:G4"/>
    <mergeCell ref="H4:I4"/>
    <mergeCell ref="B8:I8"/>
    <mergeCell ref="C1:G1"/>
    <mergeCell ref="D9:E9"/>
    <mergeCell ref="F9:G9"/>
    <mergeCell ref="H9:I9"/>
    <mergeCell ref="B9:B10"/>
    <mergeCell ref="C9:C10"/>
    <mergeCell ref="B2:C2"/>
    <mergeCell ref="B4:C4"/>
    <mergeCell ref="B6:C6"/>
    <mergeCell ref="D2:E2"/>
    <mergeCell ref="D4:E4"/>
    <mergeCell ref="D6:E6"/>
    <mergeCell ref="D3:E3"/>
    <mergeCell ref="D5:E5"/>
    <mergeCell ref="D7:E7"/>
    <mergeCell ref="D22:E22"/>
    <mergeCell ref="F23:G23"/>
    <mergeCell ref="F22:G22"/>
    <mergeCell ref="D18:E18"/>
    <mergeCell ref="D19:E19"/>
    <mergeCell ref="D20:E20"/>
    <mergeCell ref="F20:G20"/>
    <mergeCell ref="F21:G21"/>
  </mergeCells>
  <dataValidations count="1">
    <dataValidation type="decimal" allowBlank="1" showInputMessage="1" showErrorMessage="1" errorTitle="Алдаа" error="Зөвхөн тоо оруулна уу!!!" sqref="D13:I14">
      <formula1>-9.99999999999999E+34</formula1>
      <formula2>9.99999999999999E+36</formula2>
    </dataValidation>
  </dataValidations>
  <pageMargins left="0.25" right="0.25" top="0.75" bottom="0.75" header="0.3" footer="0.3"/>
  <pageSetup paperSize="9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293"/>
  <sheetViews>
    <sheetView showGridLines="0" zoomScaleNormal="100" workbookViewId="0">
      <selection activeCell="E23" sqref="E23:F23"/>
    </sheetView>
  </sheetViews>
  <sheetFormatPr defaultRowHeight="14.25" x14ac:dyDescent="0.25"/>
  <cols>
    <col min="1" max="1" width="6.7109375" style="13" customWidth="1"/>
    <col min="2" max="2" width="5" style="13" customWidth="1"/>
    <col min="3" max="3" width="32.140625" style="13" customWidth="1"/>
    <col min="4" max="4" width="21.5703125" style="13" customWidth="1"/>
    <col min="5" max="5" width="20.85546875" style="13" customWidth="1"/>
    <col min="6" max="6" width="19.42578125" style="13" customWidth="1"/>
    <col min="7" max="7" width="19.28515625" style="13" customWidth="1"/>
    <col min="8" max="8" width="18.85546875" style="13" customWidth="1"/>
    <col min="9" max="26" width="9.140625" style="13"/>
    <col min="27" max="28" width="0" style="13" hidden="1" customWidth="1"/>
    <col min="29" max="16384" width="9.140625" style="13"/>
  </cols>
  <sheetData>
    <row r="1" spans="2:12" s="8" customFormat="1" ht="99" customHeight="1" x14ac:dyDescent="0.2">
      <c r="B1" s="9"/>
      <c r="C1" s="145" t="s">
        <v>219</v>
      </c>
      <c r="D1" s="145"/>
      <c r="E1" s="145"/>
      <c r="F1" s="145"/>
      <c r="G1" s="145"/>
      <c r="H1" s="12" t="s">
        <v>164</v>
      </c>
      <c r="J1" s="11"/>
      <c r="K1" s="11"/>
      <c r="L1" s="11"/>
    </row>
    <row r="3" spans="2:12" s="7" customFormat="1" ht="20.100000000000001" customHeight="1" x14ac:dyDescent="0.25">
      <c r="B3" s="132" t="s">
        <v>8</v>
      </c>
      <c r="C3" s="132"/>
      <c r="D3" s="132"/>
      <c r="E3" s="132"/>
      <c r="F3" s="98"/>
      <c r="G3" s="132"/>
      <c r="H3" s="132"/>
    </row>
    <row r="4" spans="2:12" s="92" customFormat="1" ht="9.75" customHeight="1" x14ac:dyDescent="0.25">
      <c r="D4" s="126" t="s">
        <v>230</v>
      </c>
      <c r="E4" s="126"/>
      <c r="F4" s="98"/>
      <c r="G4" s="126"/>
      <c r="H4" s="126"/>
    </row>
    <row r="5" spans="2:12" s="7" customFormat="1" ht="20.100000000000001" customHeight="1" x14ac:dyDescent="0.25">
      <c r="B5" s="132" t="s">
        <v>222</v>
      </c>
      <c r="C5" s="132"/>
      <c r="D5" s="132"/>
      <c r="E5" s="132"/>
      <c r="F5" s="98"/>
      <c r="G5" s="132"/>
      <c r="H5" s="132"/>
    </row>
    <row r="6" spans="2:12" s="92" customFormat="1" ht="9.75" customHeight="1" x14ac:dyDescent="0.25">
      <c r="D6" s="126" t="s">
        <v>232</v>
      </c>
      <c r="E6" s="126"/>
      <c r="F6" s="98"/>
      <c r="G6" s="126"/>
      <c r="H6" s="126"/>
    </row>
    <row r="7" spans="2:12" s="7" customFormat="1" ht="20.100000000000001" customHeight="1" x14ac:dyDescent="0.25">
      <c r="B7" s="132" t="s">
        <v>172</v>
      </c>
      <c r="C7" s="132"/>
      <c r="D7" s="132"/>
      <c r="E7" s="132"/>
      <c r="F7" s="98"/>
      <c r="G7" s="132"/>
      <c r="H7" s="132"/>
    </row>
    <row r="8" spans="2:12" s="92" customFormat="1" ht="9.75" customHeight="1" x14ac:dyDescent="0.25">
      <c r="D8" s="126" t="s">
        <v>235</v>
      </c>
      <c r="E8" s="126"/>
      <c r="F8" s="98"/>
      <c r="G8" s="126"/>
      <c r="H8" s="126"/>
    </row>
    <row r="9" spans="2:12" ht="31.5" customHeight="1" x14ac:dyDescent="0.25">
      <c r="B9" s="187" t="s">
        <v>223</v>
      </c>
      <c r="C9" s="187"/>
      <c r="D9" s="187"/>
      <c r="E9" s="187"/>
      <c r="F9" s="187"/>
      <c r="G9" s="187"/>
      <c r="H9" s="187"/>
    </row>
    <row r="10" spans="2:12" ht="30" customHeight="1" x14ac:dyDescent="0.25">
      <c r="H10" s="106" t="s">
        <v>248</v>
      </c>
    </row>
    <row r="11" spans="2:12" ht="30" customHeight="1" x14ac:dyDescent="0.25">
      <c r="B11" s="139" t="s">
        <v>61</v>
      </c>
      <c r="C11" s="139" t="s">
        <v>185</v>
      </c>
      <c r="D11" s="133" t="s">
        <v>165</v>
      </c>
      <c r="E11" s="176"/>
      <c r="F11" s="176"/>
      <c r="G11" s="176"/>
      <c r="H11" s="134"/>
    </row>
    <row r="12" spans="2:12" ht="45" x14ac:dyDescent="0.25">
      <c r="B12" s="139"/>
      <c r="C12" s="139"/>
      <c r="D12" s="15" t="s">
        <v>166</v>
      </c>
      <c r="E12" s="15" t="s">
        <v>167</v>
      </c>
      <c r="F12" s="15" t="s">
        <v>168</v>
      </c>
      <c r="G12" s="15" t="s">
        <v>169</v>
      </c>
      <c r="H12" s="15" t="s">
        <v>170</v>
      </c>
    </row>
    <row r="13" spans="2:12" ht="33" customHeight="1" x14ac:dyDescent="0.25">
      <c r="B13" s="24">
        <f ca="1">OFFSET($B13,-1,0,1,1)+1</f>
        <v>1</v>
      </c>
      <c r="C13" s="47" t="s">
        <v>171</v>
      </c>
      <c r="D13" s="46"/>
      <c r="E13" s="46"/>
      <c r="F13" s="46"/>
      <c r="G13" s="46"/>
      <c r="H13" s="46"/>
    </row>
    <row r="14" spans="2:12" ht="30" x14ac:dyDescent="0.25">
      <c r="B14" s="24">
        <f t="shared" ref="B14:B15" ca="1" si="0">OFFSET($B14,-1,0,1,1)+1</f>
        <v>2</v>
      </c>
      <c r="C14" s="47" t="s">
        <v>252</v>
      </c>
      <c r="D14" s="114"/>
      <c r="E14" s="114"/>
      <c r="F14" s="114"/>
      <c r="G14" s="114"/>
      <c r="H14" s="114"/>
    </row>
    <row r="15" spans="2:12" ht="15" x14ac:dyDescent="0.25">
      <c r="B15" s="24">
        <f t="shared" ca="1" si="0"/>
        <v>3</v>
      </c>
      <c r="C15" s="47" t="s">
        <v>76</v>
      </c>
      <c r="D15" s="120"/>
      <c r="E15" s="120"/>
      <c r="F15" s="120"/>
      <c r="G15" s="120"/>
      <c r="H15" s="120"/>
    </row>
    <row r="16" spans="2:12" ht="15" x14ac:dyDescent="0.25">
      <c r="B16" s="43"/>
      <c r="C16" s="74"/>
      <c r="D16" s="75"/>
      <c r="E16" s="75"/>
      <c r="F16" s="75"/>
      <c r="G16" s="75"/>
      <c r="H16" s="75"/>
    </row>
    <row r="17" spans="2:8" ht="15" x14ac:dyDescent="0.25">
      <c r="B17" s="43"/>
      <c r="C17" s="74"/>
      <c r="D17" s="75"/>
      <c r="E17" s="75"/>
      <c r="F17" s="75"/>
      <c r="G17" s="75"/>
      <c r="H17" s="75"/>
    </row>
    <row r="18" spans="2:8" ht="15" x14ac:dyDescent="0.25">
      <c r="B18" s="43"/>
      <c r="C18" s="74"/>
      <c r="D18" s="75"/>
      <c r="E18" s="75"/>
      <c r="F18" s="75"/>
      <c r="G18" s="75"/>
      <c r="H18" s="75"/>
    </row>
    <row r="19" spans="2:8" x14ac:dyDescent="0.25">
      <c r="C19" s="92" t="s">
        <v>55</v>
      </c>
      <c r="D19" s="130"/>
      <c r="E19" s="130"/>
      <c r="F19" s="92"/>
    </row>
    <row r="20" spans="2:8" ht="9" customHeight="1" x14ac:dyDescent="0.25">
      <c r="C20" s="92"/>
      <c r="D20" s="126" t="s">
        <v>233</v>
      </c>
      <c r="E20" s="126"/>
      <c r="F20" s="92"/>
    </row>
    <row r="21" spans="2:8" x14ac:dyDescent="0.25">
      <c r="C21" s="92" t="s">
        <v>56</v>
      </c>
      <c r="D21" s="92" t="s">
        <v>57</v>
      </c>
      <c r="E21" s="130"/>
      <c r="F21" s="130"/>
    </row>
    <row r="22" spans="2:8" ht="9" customHeight="1" x14ac:dyDescent="0.25">
      <c r="C22" s="92"/>
      <c r="D22" s="92"/>
      <c r="E22" s="126" t="s">
        <v>227</v>
      </c>
      <c r="F22" s="126"/>
    </row>
    <row r="23" spans="2:8" x14ac:dyDescent="0.25">
      <c r="C23" s="92"/>
      <c r="D23" s="92" t="s">
        <v>98</v>
      </c>
      <c r="E23" s="130"/>
      <c r="F23" s="130"/>
    </row>
    <row r="24" spans="2:8" ht="9" customHeight="1" x14ac:dyDescent="0.25">
      <c r="C24" s="92"/>
      <c r="D24" s="92"/>
      <c r="E24" s="126" t="s">
        <v>229</v>
      </c>
      <c r="F24" s="126"/>
    </row>
    <row r="25" spans="2:8" x14ac:dyDescent="0.25">
      <c r="C25" s="7"/>
    </row>
    <row r="26" spans="2:8" x14ac:dyDescent="0.25">
      <c r="C26" s="7"/>
    </row>
    <row r="27" spans="2:8" x14ac:dyDescent="0.25">
      <c r="C27" s="7"/>
    </row>
    <row r="28" spans="2:8" x14ac:dyDescent="0.25">
      <c r="C28" s="95" t="s">
        <v>240</v>
      </c>
    </row>
    <row r="29" spans="2:8" x14ac:dyDescent="0.25">
      <c r="C29" s="7"/>
    </row>
    <row r="30" spans="2:8" x14ac:dyDescent="0.25">
      <c r="C30" s="7"/>
    </row>
    <row r="31" spans="2:8" x14ac:dyDescent="0.25">
      <c r="C31" s="7"/>
    </row>
    <row r="32" spans="2:8" x14ac:dyDescent="0.25">
      <c r="C32" s="7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7"/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  <row r="290" spans="3:3" x14ac:dyDescent="0.25">
      <c r="C290" s="7"/>
    </row>
    <row r="291" spans="3:3" x14ac:dyDescent="0.25">
      <c r="C291" s="7"/>
    </row>
    <row r="292" spans="3:3" x14ac:dyDescent="0.25">
      <c r="C292" s="7"/>
    </row>
    <row r="293" spans="3:3" x14ac:dyDescent="0.25">
      <c r="C293" s="7"/>
    </row>
  </sheetData>
  <sheetProtection algorithmName="SHA-512" hashValue="WNSKMmDBEkuTJ5itfOSGqOms0qANr+McQuFAMlM6648tWM6hc5r+aJjNNUwikrqV8Ne3v3KUGOouhc6cqOFJ7A==" saltValue="CeJbT3nmMFR++jP701F9Aw==" spinCount="100000" sheet="1" selectLockedCells="1"/>
  <mergeCells count="26">
    <mergeCell ref="C1:G1"/>
    <mergeCell ref="B5:C5"/>
    <mergeCell ref="B7:C7"/>
    <mergeCell ref="D3:E3"/>
    <mergeCell ref="D5:E5"/>
    <mergeCell ref="D7:E7"/>
    <mergeCell ref="G3:H3"/>
    <mergeCell ref="G4:H4"/>
    <mergeCell ref="G7:H7"/>
    <mergeCell ref="G6:H6"/>
    <mergeCell ref="G5:H5"/>
    <mergeCell ref="D11:H11"/>
    <mergeCell ref="B3:C3"/>
    <mergeCell ref="B9:H9"/>
    <mergeCell ref="B11:B12"/>
    <mergeCell ref="C11:C12"/>
    <mergeCell ref="D4:E4"/>
    <mergeCell ref="D6:E6"/>
    <mergeCell ref="D8:E8"/>
    <mergeCell ref="G8:H8"/>
    <mergeCell ref="E24:F24"/>
    <mergeCell ref="D19:E19"/>
    <mergeCell ref="D20:E20"/>
    <mergeCell ref="E21:F21"/>
    <mergeCell ref="E23:F23"/>
    <mergeCell ref="E22:F22"/>
  </mergeCells>
  <dataValidations count="1">
    <dataValidation type="decimal" allowBlank="1" showInputMessage="1" showErrorMessage="1" errorTitle="Алдаа" error="Зөвхөн тоо оруулна уу!!!" sqref="D14:H15">
      <formula1>-9.99999999999999E+31</formula1>
      <formula2>9.99999999999999E+34</formula2>
    </dataValidation>
  </dataValidations>
  <pageMargins left="0.25" right="0.25" top="0.75" bottom="0.75" header="0.3" footer="0.3"/>
  <pageSetup paperSize="9" scale="99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296"/>
  <sheetViews>
    <sheetView showGridLines="0" tabSelected="1" zoomScaleNormal="100" workbookViewId="0">
      <selection activeCell="D14" sqref="D14"/>
    </sheetView>
  </sheetViews>
  <sheetFormatPr defaultRowHeight="14.25" x14ac:dyDescent="0.25"/>
  <cols>
    <col min="1" max="1" width="6.7109375" style="13" customWidth="1"/>
    <col min="2" max="2" width="5.7109375" style="13" customWidth="1"/>
    <col min="3" max="3" width="36" style="13" customWidth="1"/>
    <col min="4" max="4" width="25.28515625" style="13" customWidth="1"/>
    <col min="5" max="5" width="28" style="13" customWidth="1"/>
    <col min="6" max="6" width="26.42578125" style="13" customWidth="1"/>
    <col min="7" max="7" width="27.140625" style="13" customWidth="1"/>
    <col min="8" max="26" width="9.140625" style="13"/>
    <col min="27" max="28" width="0" style="13" hidden="1" customWidth="1"/>
    <col min="29" max="16384" width="9.140625" style="13"/>
  </cols>
  <sheetData>
    <row r="1" spans="2:12" s="8" customFormat="1" ht="99" customHeight="1" x14ac:dyDescent="0.2">
      <c r="B1" s="9"/>
      <c r="C1" s="189" t="s">
        <v>219</v>
      </c>
      <c r="D1" s="189"/>
      <c r="E1" s="189"/>
      <c r="F1" s="189"/>
      <c r="G1" s="12" t="s">
        <v>174</v>
      </c>
      <c r="J1" s="11"/>
      <c r="K1" s="11"/>
      <c r="L1" s="11"/>
    </row>
    <row r="2" spans="2:12" ht="15" customHeight="1" x14ac:dyDescent="0.25">
      <c r="B2" s="132" t="s">
        <v>225</v>
      </c>
      <c r="C2" s="132"/>
      <c r="D2" s="132"/>
      <c r="E2" s="132"/>
      <c r="F2" s="98"/>
      <c r="G2" s="98"/>
    </row>
    <row r="3" spans="2:12" s="7" customFormat="1" ht="6.75" customHeight="1" x14ac:dyDescent="0.25">
      <c r="B3" s="92"/>
      <c r="C3" s="92"/>
      <c r="D3" s="126" t="s">
        <v>231</v>
      </c>
      <c r="E3" s="126"/>
      <c r="F3" s="98"/>
      <c r="G3" s="99"/>
    </row>
    <row r="4" spans="2:12" ht="15" customHeight="1" x14ac:dyDescent="0.25">
      <c r="B4" s="132" t="s">
        <v>222</v>
      </c>
      <c r="C4" s="132"/>
      <c r="D4" s="132"/>
      <c r="E4" s="132"/>
      <c r="F4" s="98"/>
      <c r="G4" s="98"/>
    </row>
    <row r="5" spans="2:12" ht="6.75" customHeight="1" x14ac:dyDescent="0.25">
      <c r="B5" s="93"/>
      <c r="C5" s="93"/>
      <c r="D5" s="126" t="s">
        <v>232</v>
      </c>
      <c r="E5" s="126"/>
      <c r="F5" s="98"/>
      <c r="G5" s="99"/>
    </row>
    <row r="6" spans="2:12" s="7" customFormat="1" ht="15" customHeight="1" x14ac:dyDescent="0.25">
      <c r="B6" s="132" t="s">
        <v>175</v>
      </c>
      <c r="C6" s="132"/>
      <c r="D6" s="130"/>
      <c r="E6" s="130"/>
      <c r="F6" s="98"/>
      <c r="G6" s="98"/>
    </row>
    <row r="7" spans="2:12" s="92" customFormat="1" ht="6.75" customHeight="1" x14ac:dyDescent="0.25">
      <c r="D7" s="147" t="s">
        <v>239</v>
      </c>
      <c r="E7" s="147"/>
      <c r="F7" s="98"/>
      <c r="G7" s="99"/>
    </row>
    <row r="8" spans="2:12" s="7" customFormat="1" ht="12" customHeight="1" x14ac:dyDescent="0.25">
      <c r="B8" s="92"/>
      <c r="C8" s="92"/>
      <c r="D8" s="92"/>
      <c r="E8" s="92"/>
      <c r="F8" s="98"/>
      <c r="G8" s="98"/>
    </row>
    <row r="9" spans="2:12" s="7" customFormat="1" ht="15" customHeight="1" x14ac:dyDescent="0.25">
      <c r="B9" s="132" t="s">
        <v>176</v>
      </c>
      <c r="C9" s="132"/>
      <c r="D9" s="132"/>
      <c r="E9" s="132"/>
      <c r="F9" s="132"/>
      <c r="G9" s="132"/>
    </row>
    <row r="10" spans="2:12" s="92" customFormat="1" ht="6.75" customHeight="1" x14ac:dyDescent="0.25">
      <c r="D10" s="126" t="s">
        <v>236</v>
      </c>
      <c r="E10" s="126"/>
      <c r="F10" s="126"/>
      <c r="G10" s="126"/>
    </row>
    <row r="11" spans="2:12" ht="47.25" customHeight="1" x14ac:dyDescent="0.25">
      <c r="B11" s="188" t="s">
        <v>224</v>
      </c>
      <c r="C11" s="188"/>
      <c r="D11" s="188"/>
      <c r="E11" s="188"/>
      <c r="F11" s="188"/>
      <c r="G11" s="188"/>
    </row>
    <row r="12" spans="2:12" s="102" customFormat="1" ht="19.5" customHeight="1" x14ac:dyDescent="0.25">
      <c r="B12" s="104"/>
      <c r="C12" s="104"/>
      <c r="D12" s="104"/>
      <c r="E12" s="104"/>
      <c r="F12" s="104"/>
      <c r="G12" s="107" t="s">
        <v>248</v>
      </c>
    </row>
    <row r="13" spans="2:12" ht="15" x14ac:dyDescent="0.25">
      <c r="B13" s="24" t="s">
        <v>0</v>
      </c>
      <c r="C13" s="24" t="s">
        <v>185</v>
      </c>
      <c r="D13" s="15" t="s">
        <v>186</v>
      </c>
      <c r="E13" s="15" t="s">
        <v>187</v>
      </c>
      <c r="F13" s="15" t="s">
        <v>188</v>
      </c>
      <c r="G13" s="15" t="s">
        <v>189</v>
      </c>
    </row>
    <row r="14" spans="2:12" ht="15" x14ac:dyDescent="0.25">
      <c r="B14" s="6">
        <v>1</v>
      </c>
      <c r="C14" s="77" t="s">
        <v>177</v>
      </c>
      <c r="D14" s="111"/>
      <c r="E14" s="111"/>
      <c r="F14" s="111"/>
      <c r="G14" s="112">
        <f>D14+E14-F14</f>
        <v>0</v>
      </c>
    </row>
    <row r="15" spans="2:12" ht="28.5" x14ac:dyDescent="0.25">
      <c r="B15" s="6">
        <v>2</v>
      </c>
      <c r="C15" s="77" t="s">
        <v>178</v>
      </c>
      <c r="D15" s="111"/>
      <c r="E15" s="111"/>
      <c r="F15" s="111"/>
      <c r="G15" s="112">
        <f t="shared" ref="G15:G17" si="0">D15+E15-F15</f>
        <v>0</v>
      </c>
    </row>
    <row r="16" spans="2:12" ht="15" x14ac:dyDescent="0.25">
      <c r="B16" s="6">
        <v>3</v>
      </c>
      <c r="C16" s="77" t="s">
        <v>179</v>
      </c>
      <c r="D16" s="111"/>
      <c r="E16" s="111"/>
      <c r="F16" s="111"/>
      <c r="G16" s="112">
        <f t="shared" si="0"/>
        <v>0</v>
      </c>
    </row>
    <row r="17" spans="2:7" ht="15" x14ac:dyDescent="0.25">
      <c r="B17" s="6"/>
      <c r="C17" s="15" t="s">
        <v>180</v>
      </c>
      <c r="D17" s="113">
        <f>SUM(D14:D16)</f>
        <v>0</v>
      </c>
      <c r="E17" s="113">
        <f t="shared" ref="E17:F17" si="1">SUM(E14:E16)</f>
        <v>0</v>
      </c>
      <c r="F17" s="113">
        <f t="shared" si="1"/>
        <v>0</v>
      </c>
      <c r="G17" s="112">
        <f t="shared" si="0"/>
        <v>0</v>
      </c>
    </row>
    <row r="18" spans="2:7" ht="15" x14ac:dyDescent="0.25">
      <c r="B18" s="6">
        <f t="shared" ref="B18:B21" ca="1" si="2">OFFSET($B18,-1,0,1,1)+1</f>
        <v>1</v>
      </c>
      <c r="C18" s="77" t="s">
        <v>181</v>
      </c>
      <c r="D18" s="111"/>
      <c r="E18" s="111"/>
      <c r="F18" s="111"/>
      <c r="G18" s="112">
        <f t="shared" ref="G18" si="3">D18+E18-F18</f>
        <v>0</v>
      </c>
    </row>
    <row r="19" spans="2:7" ht="28.5" x14ac:dyDescent="0.25">
      <c r="B19" s="6">
        <f t="shared" ca="1" si="2"/>
        <v>2</v>
      </c>
      <c r="C19" s="77" t="s">
        <v>182</v>
      </c>
      <c r="D19" s="111"/>
      <c r="E19" s="111"/>
      <c r="F19" s="111"/>
      <c r="G19" s="112">
        <f t="shared" ref="G19:G21" si="4">D19+E19-F19</f>
        <v>0</v>
      </c>
    </row>
    <row r="20" spans="2:7" ht="28.5" x14ac:dyDescent="0.25">
      <c r="B20" s="6">
        <f t="shared" ca="1" si="2"/>
        <v>3</v>
      </c>
      <c r="C20" s="77" t="s">
        <v>183</v>
      </c>
      <c r="D20" s="111"/>
      <c r="E20" s="111"/>
      <c r="F20" s="111"/>
      <c r="G20" s="112">
        <f t="shared" si="4"/>
        <v>0</v>
      </c>
    </row>
    <row r="21" spans="2:7" ht="15" x14ac:dyDescent="0.25">
      <c r="B21" s="6">
        <f t="shared" ca="1" si="2"/>
        <v>4</v>
      </c>
      <c r="C21" s="15" t="s">
        <v>184</v>
      </c>
      <c r="D21" s="113">
        <f>SUM(D18:D20)</f>
        <v>0</v>
      </c>
      <c r="E21" s="113">
        <f t="shared" ref="E21" si="5">SUM(E18:E20)</f>
        <v>0</v>
      </c>
      <c r="F21" s="113">
        <f t="shared" ref="F21" si="6">SUM(F18:F20)</f>
        <v>0</v>
      </c>
      <c r="G21" s="112">
        <f t="shared" si="4"/>
        <v>0</v>
      </c>
    </row>
    <row r="22" spans="2:7" ht="15" x14ac:dyDescent="0.25">
      <c r="B22" s="43"/>
      <c r="C22" s="78"/>
      <c r="D22" s="78"/>
      <c r="E22" s="78"/>
      <c r="F22" s="78"/>
      <c r="G22" s="75"/>
    </row>
    <row r="23" spans="2:7" x14ac:dyDescent="0.25">
      <c r="C23" s="7" t="s">
        <v>55</v>
      </c>
      <c r="D23" s="130"/>
      <c r="E23" s="130"/>
    </row>
    <row r="24" spans="2:7" ht="9" customHeight="1" x14ac:dyDescent="0.25">
      <c r="C24" s="7"/>
      <c r="D24" s="126" t="s">
        <v>233</v>
      </c>
      <c r="E24" s="126"/>
    </row>
    <row r="25" spans="2:7" x14ac:dyDescent="0.25">
      <c r="C25" s="7" t="s">
        <v>56</v>
      </c>
      <c r="D25" s="7" t="s">
        <v>57</v>
      </c>
      <c r="E25" s="183"/>
      <c r="F25" s="183"/>
    </row>
    <row r="26" spans="2:7" ht="9" customHeight="1" x14ac:dyDescent="0.25">
      <c r="C26" s="7"/>
      <c r="D26" s="7"/>
      <c r="E26" s="126" t="s">
        <v>227</v>
      </c>
      <c r="F26" s="126"/>
    </row>
    <row r="27" spans="2:7" x14ac:dyDescent="0.25">
      <c r="C27" s="7"/>
      <c r="D27" s="7" t="s">
        <v>98</v>
      </c>
      <c r="E27" s="130"/>
      <c r="F27" s="130"/>
    </row>
    <row r="28" spans="2:7" ht="9" customHeight="1" x14ac:dyDescent="0.25">
      <c r="C28" s="7"/>
      <c r="D28" s="7"/>
      <c r="E28" s="126" t="s">
        <v>229</v>
      </c>
      <c r="F28" s="126"/>
    </row>
    <row r="29" spans="2:7" x14ac:dyDescent="0.25">
      <c r="C29" s="7" t="s">
        <v>97</v>
      </c>
    </row>
    <row r="30" spans="2:7" x14ac:dyDescent="0.25">
      <c r="C30" s="7"/>
    </row>
    <row r="31" spans="2:7" x14ac:dyDescent="0.25">
      <c r="C31" s="7"/>
      <c r="D31" s="92" t="s">
        <v>99</v>
      </c>
      <c r="E31" s="183"/>
      <c r="F31" s="183"/>
    </row>
    <row r="32" spans="2:7" ht="9" customHeight="1" x14ac:dyDescent="0.25">
      <c r="C32" s="7"/>
      <c r="E32" s="126" t="s">
        <v>234</v>
      </c>
      <c r="F32" s="126"/>
    </row>
    <row r="33" spans="3:3" x14ac:dyDescent="0.25">
      <c r="C33" s="7"/>
    </row>
    <row r="34" spans="3:3" x14ac:dyDescent="0.25">
      <c r="C34" s="7"/>
    </row>
    <row r="35" spans="3:3" x14ac:dyDescent="0.25">
      <c r="C35" s="7"/>
    </row>
    <row r="36" spans="3:3" x14ac:dyDescent="0.25">
      <c r="C36" s="95" t="s">
        <v>240</v>
      </c>
    </row>
    <row r="37" spans="3:3" x14ac:dyDescent="0.25">
      <c r="C37" s="7"/>
    </row>
    <row r="38" spans="3:3" x14ac:dyDescent="0.25">
      <c r="C38" s="7"/>
    </row>
    <row r="39" spans="3:3" x14ac:dyDescent="0.25">
      <c r="C39" s="7"/>
    </row>
    <row r="40" spans="3:3" x14ac:dyDescent="0.25">
      <c r="C40" s="7"/>
    </row>
    <row r="41" spans="3:3" x14ac:dyDescent="0.25">
      <c r="C41" s="7"/>
    </row>
    <row r="42" spans="3:3" x14ac:dyDescent="0.25">
      <c r="C42" s="7"/>
    </row>
    <row r="43" spans="3:3" x14ac:dyDescent="0.25">
      <c r="C43" s="7"/>
    </row>
    <row r="44" spans="3:3" x14ac:dyDescent="0.25">
      <c r="C44" s="7"/>
    </row>
    <row r="45" spans="3:3" x14ac:dyDescent="0.25">
      <c r="C45" s="7"/>
    </row>
    <row r="46" spans="3:3" x14ac:dyDescent="0.25">
      <c r="C46" s="7"/>
    </row>
    <row r="47" spans="3:3" x14ac:dyDescent="0.25">
      <c r="C47" s="7"/>
    </row>
    <row r="48" spans="3:3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3" x14ac:dyDescent="0.25">
      <c r="C65" s="7"/>
    </row>
    <row r="66" spans="3:3" x14ac:dyDescent="0.25">
      <c r="C66" s="7"/>
    </row>
    <row r="67" spans="3:3" x14ac:dyDescent="0.25">
      <c r="C67" s="7"/>
    </row>
    <row r="68" spans="3:3" x14ac:dyDescent="0.25">
      <c r="C68" s="7"/>
    </row>
    <row r="69" spans="3:3" x14ac:dyDescent="0.25">
      <c r="C69" s="7"/>
    </row>
    <row r="70" spans="3:3" x14ac:dyDescent="0.25">
      <c r="C70" s="7"/>
    </row>
    <row r="71" spans="3:3" x14ac:dyDescent="0.25">
      <c r="C71" s="7"/>
    </row>
    <row r="72" spans="3:3" x14ac:dyDescent="0.25">
      <c r="C72" s="7"/>
    </row>
    <row r="73" spans="3:3" x14ac:dyDescent="0.25">
      <c r="C73" s="7"/>
    </row>
    <row r="74" spans="3:3" x14ac:dyDescent="0.25">
      <c r="C74" s="7"/>
    </row>
    <row r="75" spans="3:3" x14ac:dyDescent="0.25">
      <c r="C75" s="7"/>
    </row>
    <row r="76" spans="3:3" x14ac:dyDescent="0.25">
      <c r="C76" s="7"/>
    </row>
    <row r="77" spans="3:3" x14ac:dyDescent="0.25">
      <c r="C77" s="7"/>
    </row>
    <row r="78" spans="3:3" x14ac:dyDescent="0.25">
      <c r="C78" s="7"/>
    </row>
    <row r="79" spans="3:3" x14ac:dyDescent="0.25">
      <c r="C79" s="7"/>
    </row>
    <row r="80" spans="3:3" x14ac:dyDescent="0.25">
      <c r="C80" s="7"/>
    </row>
    <row r="81" spans="3:3" x14ac:dyDescent="0.25">
      <c r="C81" s="7"/>
    </row>
    <row r="82" spans="3:3" x14ac:dyDescent="0.25">
      <c r="C82" s="7"/>
    </row>
    <row r="83" spans="3:3" x14ac:dyDescent="0.25">
      <c r="C83" s="7"/>
    </row>
    <row r="84" spans="3:3" x14ac:dyDescent="0.25">
      <c r="C84" s="7"/>
    </row>
    <row r="85" spans="3:3" x14ac:dyDescent="0.25">
      <c r="C85" s="7"/>
    </row>
    <row r="86" spans="3:3" x14ac:dyDescent="0.25">
      <c r="C86" s="7"/>
    </row>
    <row r="87" spans="3:3" x14ac:dyDescent="0.25">
      <c r="C87" s="7"/>
    </row>
    <row r="88" spans="3:3" x14ac:dyDescent="0.25">
      <c r="C88" s="7"/>
    </row>
    <row r="89" spans="3:3" x14ac:dyDescent="0.25">
      <c r="C89" s="7"/>
    </row>
    <row r="90" spans="3:3" x14ac:dyDescent="0.25">
      <c r="C90" s="7"/>
    </row>
    <row r="91" spans="3:3" x14ac:dyDescent="0.25">
      <c r="C91" s="7"/>
    </row>
    <row r="92" spans="3:3" x14ac:dyDescent="0.25">
      <c r="C92" s="7"/>
    </row>
    <row r="93" spans="3:3" x14ac:dyDescent="0.25">
      <c r="C93" s="7"/>
    </row>
    <row r="94" spans="3:3" x14ac:dyDescent="0.25">
      <c r="C94" s="7"/>
    </row>
    <row r="95" spans="3:3" x14ac:dyDescent="0.25">
      <c r="C95" s="7"/>
    </row>
    <row r="96" spans="3:3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3" x14ac:dyDescent="0.25">
      <c r="C113" s="7"/>
    </row>
    <row r="114" spans="3:3" x14ac:dyDescent="0.25">
      <c r="C114" s="7"/>
    </row>
    <row r="115" spans="3:3" x14ac:dyDescent="0.25">
      <c r="C115" s="7"/>
    </row>
    <row r="116" spans="3:3" x14ac:dyDescent="0.25">
      <c r="C116" s="7"/>
    </row>
    <row r="117" spans="3:3" x14ac:dyDescent="0.25">
      <c r="C117" s="7"/>
    </row>
    <row r="118" spans="3:3" x14ac:dyDescent="0.25">
      <c r="C118" s="7"/>
    </row>
    <row r="119" spans="3:3" x14ac:dyDescent="0.25">
      <c r="C119" s="7"/>
    </row>
    <row r="120" spans="3:3" x14ac:dyDescent="0.25">
      <c r="C120" s="7"/>
    </row>
    <row r="121" spans="3:3" x14ac:dyDescent="0.25">
      <c r="C121" s="7"/>
    </row>
    <row r="122" spans="3:3" x14ac:dyDescent="0.25">
      <c r="C122" s="7"/>
    </row>
    <row r="123" spans="3:3" x14ac:dyDescent="0.25">
      <c r="C123" s="7"/>
    </row>
    <row r="124" spans="3:3" x14ac:dyDescent="0.25">
      <c r="C124" s="7"/>
    </row>
    <row r="125" spans="3:3" x14ac:dyDescent="0.25">
      <c r="C125" s="7"/>
    </row>
    <row r="126" spans="3:3" x14ac:dyDescent="0.25">
      <c r="C126" s="7"/>
    </row>
    <row r="127" spans="3:3" x14ac:dyDescent="0.25">
      <c r="C127" s="7"/>
    </row>
    <row r="128" spans="3:3" x14ac:dyDescent="0.25">
      <c r="C128" s="7"/>
    </row>
    <row r="129" spans="3:3" x14ac:dyDescent="0.25">
      <c r="C129" s="7"/>
    </row>
    <row r="130" spans="3:3" x14ac:dyDescent="0.25">
      <c r="C130" s="7"/>
    </row>
    <row r="131" spans="3:3" x14ac:dyDescent="0.25">
      <c r="C131" s="7"/>
    </row>
    <row r="132" spans="3:3" x14ac:dyDescent="0.25">
      <c r="C132" s="7"/>
    </row>
    <row r="133" spans="3:3" x14ac:dyDescent="0.25">
      <c r="C133" s="7"/>
    </row>
    <row r="134" spans="3:3" x14ac:dyDescent="0.25">
      <c r="C134" s="7"/>
    </row>
    <row r="135" spans="3:3" x14ac:dyDescent="0.25">
      <c r="C135" s="7"/>
    </row>
    <row r="136" spans="3:3" x14ac:dyDescent="0.25">
      <c r="C136" s="7"/>
    </row>
    <row r="137" spans="3:3" x14ac:dyDescent="0.25">
      <c r="C137" s="7"/>
    </row>
    <row r="138" spans="3:3" x14ac:dyDescent="0.25">
      <c r="C138" s="7"/>
    </row>
    <row r="139" spans="3:3" x14ac:dyDescent="0.25">
      <c r="C139" s="7"/>
    </row>
    <row r="140" spans="3:3" x14ac:dyDescent="0.25">
      <c r="C140" s="7"/>
    </row>
    <row r="141" spans="3:3" x14ac:dyDescent="0.25">
      <c r="C141" s="7"/>
    </row>
    <row r="142" spans="3:3" x14ac:dyDescent="0.25">
      <c r="C142" s="7"/>
    </row>
    <row r="143" spans="3:3" x14ac:dyDescent="0.25">
      <c r="C143" s="7"/>
    </row>
    <row r="144" spans="3:3" x14ac:dyDescent="0.25">
      <c r="C144" s="7"/>
    </row>
    <row r="145" spans="3:3" x14ac:dyDescent="0.25">
      <c r="C145" s="7"/>
    </row>
    <row r="146" spans="3:3" x14ac:dyDescent="0.25">
      <c r="C146" s="7"/>
    </row>
    <row r="147" spans="3:3" x14ac:dyDescent="0.25">
      <c r="C147" s="7"/>
    </row>
    <row r="148" spans="3:3" x14ac:dyDescent="0.25">
      <c r="C148" s="7"/>
    </row>
    <row r="149" spans="3:3" x14ac:dyDescent="0.25">
      <c r="C149" s="7"/>
    </row>
    <row r="150" spans="3:3" x14ac:dyDescent="0.25">
      <c r="C150" s="7"/>
    </row>
    <row r="151" spans="3:3" x14ac:dyDescent="0.25">
      <c r="C151" s="7"/>
    </row>
    <row r="152" spans="3:3" x14ac:dyDescent="0.25">
      <c r="C152" s="7"/>
    </row>
    <row r="153" spans="3:3" x14ac:dyDescent="0.25">
      <c r="C153" s="7"/>
    </row>
    <row r="154" spans="3:3" x14ac:dyDescent="0.25">
      <c r="C154" s="7"/>
    </row>
    <row r="155" spans="3:3" x14ac:dyDescent="0.25">
      <c r="C155" s="7"/>
    </row>
    <row r="156" spans="3:3" x14ac:dyDescent="0.25">
      <c r="C156" s="7"/>
    </row>
    <row r="157" spans="3:3" x14ac:dyDescent="0.25">
      <c r="C157" s="7"/>
    </row>
    <row r="158" spans="3:3" x14ac:dyDescent="0.25">
      <c r="C158" s="7"/>
    </row>
    <row r="159" spans="3:3" x14ac:dyDescent="0.25">
      <c r="C159" s="7"/>
    </row>
    <row r="160" spans="3:3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3" x14ac:dyDescent="0.25">
      <c r="C177" s="7"/>
    </row>
    <row r="178" spans="3:3" x14ac:dyDescent="0.25">
      <c r="C178" s="7"/>
    </row>
    <row r="179" spans="3:3" x14ac:dyDescent="0.25">
      <c r="C179" s="7"/>
    </row>
    <row r="180" spans="3:3" x14ac:dyDescent="0.25">
      <c r="C180" s="7"/>
    </row>
    <row r="181" spans="3:3" x14ac:dyDescent="0.25">
      <c r="C181" s="7"/>
    </row>
    <row r="182" spans="3:3" x14ac:dyDescent="0.25">
      <c r="C182" s="7"/>
    </row>
    <row r="183" spans="3:3" x14ac:dyDescent="0.25">
      <c r="C183" s="7"/>
    </row>
    <row r="184" spans="3:3" x14ac:dyDescent="0.25">
      <c r="C184" s="7"/>
    </row>
    <row r="185" spans="3:3" x14ac:dyDescent="0.25">
      <c r="C185" s="7"/>
    </row>
    <row r="186" spans="3:3" x14ac:dyDescent="0.25">
      <c r="C186" s="7"/>
    </row>
    <row r="187" spans="3:3" x14ac:dyDescent="0.25">
      <c r="C187" s="7"/>
    </row>
    <row r="188" spans="3:3" x14ac:dyDescent="0.25">
      <c r="C188" s="7"/>
    </row>
    <row r="189" spans="3:3" x14ac:dyDescent="0.25">
      <c r="C189" s="7"/>
    </row>
    <row r="190" spans="3:3" x14ac:dyDescent="0.25">
      <c r="C190" s="7"/>
    </row>
    <row r="191" spans="3:3" x14ac:dyDescent="0.25">
      <c r="C191" s="7"/>
    </row>
    <row r="192" spans="3:3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  <row r="290" spans="3:3" x14ac:dyDescent="0.25">
      <c r="C290" s="7"/>
    </row>
    <row r="291" spans="3:3" x14ac:dyDescent="0.25">
      <c r="C291" s="7"/>
    </row>
    <row r="292" spans="3:3" x14ac:dyDescent="0.25">
      <c r="C292" s="7"/>
    </row>
    <row r="293" spans="3:3" x14ac:dyDescent="0.25">
      <c r="C293" s="7"/>
    </row>
    <row r="294" spans="3:3" x14ac:dyDescent="0.25">
      <c r="C294" s="7"/>
    </row>
    <row r="295" spans="3:3" x14ac:dyDescent="0.25">
      <c r="C295" s="7"/>
    </row>
    <row r="296" spans="3:3" x14ac:dyDescent="0.25">
      <c r="C296" s="7"/>
    </row>
  </sheetData>
  <sheetProtection algorithmName="SHA-512" hashValue="nbog+Bz/l+xuGJlrgAgS9yR1Hrs06giKgNjsa8sd/eemE5yM5zOtOTIbIRfCGXf1yvNkact3e1dykfp/8d/V1A==" saltValue="sRlA88pP5KWjLc4LL0smPQ==" spinCount="100000" sheet="1" selectLockedCells="1"/>
  <mergeCells count="22">
    <mergeCell ref="B6:C6"/>
    <mergeCell ref="B9:C9"/>
    <mergeCell ref="B11:G11"/>
    <mergeCell ref="C1:F1"/>
    <mergeCell ref="B4:C4"/>
    <mergeCell ref="B2:C2"/>
    <mergeCell ref="D2:E2"/>
    <mergeCell ref="D4:E4"/>
    <mergeCell ref="D6:E6"/>
    <mergeCell ref="D3:E3"/>
    <mergeCell ref="D5:E5"/>
    <mergeCell ref="D7:E7"/>
    <mergeCell ref="D9:G9"/>
    <mergeCell ref="D10:G10"/>
    <mergeCell ref="E28:F28"/>
    <mergeCell ref="E31:F31"/>
    <mergeCell ref="E32:F32"/>
    <mergeCell ref="D23:E23"/>
    <mergeCell ref="D24:E24"/>
    <mergeCell ref="E25:F25"/>
    <mergeCell ref="E26:F26"/>
    <mergeCell ref="E27:F27"/>
  </mergeCells>
  <dataValidations count="1">
    <dataValidation type="decimal" allowBlank="1" showInputMessage="1" showErrorMessage="1" sqref="D14:F16 D18:F20">
      <formula1>-9.99999999999999E+35</formula1>
      <formula2>9.99999999999999E+36</formula2>
    </dataValidation>
  </dataValidations>
  <pageMargins left="0.25" right="0.25" top="0.75" bottom="0.75" header="0.3" footer="0.3"/>
  <pageSetup paperSize="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Rowdesign</vt:lpstr>
      <vt:lpstr>georep1</vt:lpstr>
      <vt:lpstr>georep2</vt:lpstr>
      <vt:lpstr>georep3</vt:lpstr>
      <vt:lpstr>georep4</vt:lpstr>
      <vt:lpstr>georep5</vt:lpstr>
      <vt:lpstr>georep6</vt:lpstr>
      <vt:lpstr>georep7</vt:lpstr>
      <vt:lpstr>georep8</vt:lpstr>
      <vt:lpstr>georep9</vt:lpstr>
      <vt:lpstr>georep10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MRAM Form - Smart Green Technology LLC</dc:title>
  <dc:creator/>
  <cp:keywords>SGT</cp:keywords>
  <cp:lastModifiedBy/>
  <dcterms:created xsi:type="dcterms:W3CDTF">2015-06-05T18:17:20Z</dcterms:created>
  <dcterms:modified xsi:type="dcterms:W3CDTF">2017-02-14T04:57:19Z</dcterms:modified>
</cp:coreProperties>
</file>