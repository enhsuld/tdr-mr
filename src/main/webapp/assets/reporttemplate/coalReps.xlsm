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4.xml" ContentType="application/vnd.ms-excel.controlproperties+xml"/>
  <Override PartName="/xl/drawings/drawing10.xml" ContentType="application/vnd.openxmlformats-officedocument.drawing+xml"/>
  <Override PartName="/xl/ctrlProps/ctrlProp65.xml" ContentType="application/vnd.ms-excel.controlproperties+xml"/>
  <Override PartName="/xl/drawings/drawing1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79.xml" ContentType="application/vnd.ms-excel.controlproperties+xml"/>
  <Override PartName="/xl/drawings/drawing19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20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jZgGmKborwJemZTaF2eCvO7nk1E8mDLgO4pLQxobkJakNRf154Vpi6GaYH8h+xpnh7nCz4ZBrliiIdKPhtubJQ==" workbookSaltValue="o5RN4KRw+Zpj+1rntCNl8A==" workbookSpinCount="100000" lockStructure="1"/>
  <bookViews>
    <workbookView xWindow="0" yWindow="0" windowWidth="24000" windowHeight="9750" tabRatio="913" firstSheet="7" activeTab="13"/>
  </bookViews>
  <sheets>
    <sheet name="Source" sheetId="27" state="hidden" r:id="rId1"/>
    <sheet name="Rowdesign" sheetId="28" state="hidden" r:id="rId2"/>
    <sheet name="CForm-2" sheetId="23" r:id="rId3"/>
    <sheet name="CForm-2.1" sheetId="25" r:id="rId4"/>
    <sheet name="CForm-3" sheetId="22" r:id="rId5"/>
    <sheet name="CForm-4" sheetId="17" r:id="rId6"/>
    <sheet name="CForm-5" sheetId="34" r:id="rId7"/>
    <sheet name="CForm-6-1" sheetId="35" r:id="rId8"/>
    <sheet name="CForm-6-2" sheetId="36" r:id="rId9"/>
    <sheet name="CForm-7" sheetId="37" r:id="rId10"/>
    <sheet name="CForm-8" sheetId="38" r:id="rId11"/>
    <sheet name="CForm-9" sheetId="40" r:id="rId12"/>
    <sheet name="CForm-10" sheetId="41" r:id="rId13"/>
    <sheet name="CForm-11" sheetId="42" r:id="rId14"/>
    <sheet name="CForm-12" sheetId="43" r:id="rId15"/>
    <sheet name="CForm-13" sheetId="44" r:id="rId16"/>
    <sheet name="CForm-14" sheetId="5" r:id="rId17"/>
    <sheet name="CForm-15" sheetId="6" r:id="rId18"/>
    <sheet name="CForm-16" sheetId="7" r:id="rId19"/>
    <sheet name="CForm-17" sheetId="26" r:id="rId20"/>
    <sheet name="CForm-18" sheetId="50" r:id="rId21"/>
    <sheet name="CForm-19" sheetId="10" r:id="rId22"/>
  </sheets>
  <definedNames>
    <definedName name="a_1">Source!$M$42:$N$42</definedName>
    <definedName name="a_10">Source!$M$51:$N$51</definedName>
    <definedName name="a_11">Source!$M$52:$O$52</definedName>
    <definedName name="a_12">Source!$M$53</definedName>
    <definedName name="a_13">Source!$M$54:$R$54</definedName>
    <definedName name="a_14">Source!$M$55</definedName>
    <definedName name="a_15">Source!$M$56</definedName>
    <definedName name="a_16">Source!$M$57:$P$57</definedName>
    <definedName name="a_17">Source!$M$58</definedName>
    <definedName name="a_18">Source!$M$59:$N$59</definedName>
    <definedName name="a_19">Source!$M$60:$N$60</definedName>
    <definedName name="a_2">Source!$M$43:$N$43</definedName>
    <definedName name="a_20">Source!$M$61</definedName>
    <definedName name="a_21">Source!$M$62</definedName>
    <definedName name="a_22">Source!$M$63</definedName>
    <definedName name="a_23">Source!$M$64</definedName>
    <definedName name="a_24">Source!$M$65:$N$65</definedName>
    <definedName name="a_25">Source!$M$66</definedName>
    <definedName name="a_26">Source!$M$67</definedName>
    <definedName name="a_27">Source!$M$68:$N$68</definedName>
    <definedName name="a_28">Source!$M$69</definedName>
    <definedName name="a_29">Source!$M$70</definedName>
    <definedName name="a_3">Source!$M$44:$N$44</definedName>
    <definedName name="a_30">Source!$M$71:$N$71</definedName>
    <definedName name="a_31">Source!$M$72:$N$72</definedName>
    <definedName name="a_32">Source!$M$73</definedName>
    <definedName name="a_33">Source!$M$74</definedName>
    <definedName name="a_34">Source!$M$75:$N$75</definedName>
    <definedName name="a_35">Source!$M$76:$N$76</definedName>
    <definedName name="a_36">Source!$M$77</definedName>
    <definedName name="a_37">Source!$M$78</definedName>
    <definedName name="a_38">Source!$M$79</definedName>
    <definedName name="a_39">Source!$M$80</definedName>
    <definedName name="a_4">Source!$M$45</definedName>
    <definedName name="a_40">Source!$M$81</definedName>
    <definedName name="a_41">Source!$M$82</definedName>
    <definedName name="a_42">Source!$M$83</definedName>
    <definedName name="a_43">Source!$M$84</definedName>
    <definedName name="a_44">Source!$M$85:$O$85</definedName>
    <definedName name="a_45">Source!$M$86</definedName>
    <definedName name="a_5">Source!$M$46</definedName>
    <definedName name="a_6">Source!$M$47</definedName>
    <definedName name="a_7">Source!$M$48</definedName>
    <definedName name="a_8">Source!$M$49</definedName>
    <definedName name="a_9">Source!$M$50</definedName>
    <definedName name="a_turul" localSheetId="20">Source!$A$42:$A$86</definedName>
    <definedName name="a_turul">Source!$A$42:$A$86</definedName>
    <definedName name="aa_1">Source!$BQ$1:$BR$1</definedName>
    <definedName name="aa_10">Source!$BQ$10</definedName>
    <definedName name="aa_11">Source!$BQ$11</definedName>
    <definedName name="aa_12">Source!$BQ$12:$BR$12</definedName>
    <definedName name="aa_13">Source!$BQ$13:$BT$13</definedName>
    <definedName name="aa_14">Source!$BQ$14</definedName>
    <definedName name="aa_15">Source!$BQ$15</definedName>
    <definedName name="aa_16">Source!$BQ$16:$CA$16</definedName>
    <definedName name="aa_17">Source!$BQ$17:$BR$17</definedName>
    <definedName name="aa_18">Source!$BQ$18:$BT$18</definedName>
    <definedName name="aa_19">Source!$BQ$19:$BT$19</definedName>
    <definedName name="aa_2">Source!$BQ$2:$BR$2</definedName>
    <definedName name="aa_20">Source!$BQ$20:$BS$20</definedName>
    <definedName name="aa_22">Source!$BQ$22</definedName>
    <definedName name="aa_3">Source!$BQ$3:$BR$3</definedName>
    <definedName name="aa_31">Source!$BQ$31</definedName>
    <definedName name="aa_39">Source!$BQ$39</definedName>
    <definedName name="aa_4">Source!$BQ$4:$CG$4</definedName>
    <definedName name="aa_40">Source!$BQ$40</definedName>
    <definedName name="aa_41">Source!$BQ$41</definedName>
    <definedName name="aa_43">Source!$BQ$43:$BR$43</definedName>
    <definedName name="aa_44">Source!$BQ$44</definedName>
    <definedName name="aa_5">Source!$BQ$5:$BV$5</definedName>
    <definedName name="aa_6">Source!$BQ$6:$BT$6</definedName>
    <definedName name="aa_7">Source!$BQ$7:$BS$7</definedName>
    <definedName name="aa_8">Source!$BQ$8</definedName>
    <definedName name="aa_9">Source!$BQ$9:$BR$9</definedName>
    <definedName name="ab_1">Source!$BC$1:$BD$1</definedName>
    <definedName name="ab_10">Source!$BC$10</definedName>
    <definedName name="ab_11">Source!$BC$11:$BF$11</definedName>
    <definedName name="ab_12">Source!$BC$12:$BL$12</definedName>
    <definedName name="ab_13">Source!$BC$13:$BG$13</definedName>
    <definedName name="ab_14">Source!$BC$14:$BD$14</definedName>
    <definedName name="ab_15">Source!$BC$15:$BD$15</definedName>
    <definedName name="ab_2">Source!$BC$2:$BF$2</definedName>
    <definedName name="ab_3">Source!$BC$3:$BG$3</definedName>
    <definedName name="ab_4">Source!$BC$4:$BF$4</definedName>
    <definedName name="ab_5">Source!$BC$5:$BH$5</definedName>
    <definedName name="ab_6">Source!$BC$6:$BG$6</definedName>
    <definedName name="ab_7">Source!$BC$7:$BF$7</definedName>
    <definedName name="ab_8">Source!$BC$8:$BG$8</definedName>
    <definedName name="ab_9">Source!$BC$9</definedName>
    <definedName name="aguulgiin_angilal" localSheetId="20">Source!$K$1:$K$3</definedName>
    <definedName name="aguulgiin_angilal">Source!$K$1:$K$3</definedName>
    <definedName name="ajilgaa_yawuulsan_jil" localSheetId="20">Source!$G$1:$G$31</definedName>
    <definedName name="ajilgaa_yawuulsan_jil">Source!$G$1:$G$31</definedName>
    <definedName name="bayjuulaltiin_tehnik">Source!$AY$1:$AY$15</definedName>
    <definedName name="bayjuulaltiin_tehnilogi" localSheetId="20">Source!$X$1:$X$17</definedName>
    <definedName name="bayjuulaltiin_tehnilogi">Source!$X$1:$X$17</definedName>
    <definedName name="borluulalt_dotood">Source!$CV$1:$CV$2</definedName>
    <definedName name="borluulalt_uls" localSheetId="20">Source!$F$8:$F$27</definedName>
    <definedName name="borluulalt_uls">Source!$F$8:$F$27</definedName>
    <definedName name="borluulaltiin_negj" localSheetId="20">Source!$D$1:$D$5</definedName>
    <definedName name="borluulaltiin_negj">Source!$D$1:$D$5</definedName>
    <definedName name="c_14">Source!$AK$2:$AK$57</definedName>
    <definedName name="c_3">Source!$AE$2:$AE$27</definedName>
    <definedName name="cc_14">Source!$AM$2:$AM$15</definedName>
    <definedName name="cc_3">Source!$AG$2:$AG$11</definedName>
    <definedName name="ccc_14">Source!$AN$2:$AN$5</definedName>
    <definedName name="ccc_3">Source!$AH$2:$AH$3</definedName>
    <definedName name="cccc_14">Source!$AO$2:$AO$5</definedName>
    <definedName name="cccc_3">Source!$AI$2:$AI$5</definedName>
    <definedName name="curr2">Source!$CU$1:$CU$2</definedName>
    <definedName name="currency" localSheetId="20">Source!$C$1:$C$9</definedName>
    <definedName name="currency">Source!$C$1:$C$9</definedName>
    <definedName name="export_uls">Source!$CW$1:$CW$2</definedName>
    <definedName name="nuurs_o_turul">Source!$CX$1:$CX$3</definedName>
    <definedName name="nuurs_turul">Source!$CN$1:$CN$4</definedName>
    <definedName name="nuutsiin_zereg" localSheetId="20">Source!$F$1:$F$5</definedName>
    <definedName name="nuutsiin_zereg">Source!$F$1:$F$5</definedName>
    <definedName name="saruud" localSheetId="20">Source!$A$1:$A$12</definedName>
    <definedName name="saruud">Source!$A$1:$A$12</definedName>
    <definedName name="tashilgaanii_eh_uuswer">Source!$H$1:$H$10</definedName>
    <definedName name="tehnik_7" localSheetId="20">Source!$AY$1:$AY$15</definedName>
    <definedName name="tehnik_7">Source!$AY$1:$AY$15</definedName>
    <definedName name="tehnik_8_1" localSheetId="20">Source!$R$1:$R$20</definedName>
    <definedName name="tehnik_8_1">Source!$R$1:$R$20</definedName>
    <definedName name="tehnik_8_2" localSheetId="20">Source!$V$1:$V$7</definedName>
    <definedName name="tehnik_8_2">Source!$V$1:$V$7</definedName>
    <definedName name="tehnik_turul_8_1" localSheetId="20">Source!$T$1:$T$5</definedName>
    <definedName name="tehnik_turul_8_1">Source!$T$1:$T$5</definedName>
    <definedName name="tehnik_uild_on" localSheetId="20">Source!$AU$1:$AU$41</definedName>
    <definedName name="tehnik_uild_on">Source!$AU$1:$AU$41</definedName>
    <definedName name="tehnik_uls_8_1" localSheetId="20">Source!$S$1:$S$8</definedName>
    <definedName name="tehnik_uls_8_1">Source!$S$1:$S$8</definedName>
    <definedName name="tehnikiin_hemjih" localSheetId="20">Source!$P$1:$P$2</definedName>
    <definedName name="tehnikiin_hemjih">Source!$P$1:$P$2</definedName>
    <definedName name="tehnikiin_on" localSheetId="20">Source!$AU$1:$AU$41</definedName>
    <definedName name="tehnikiin_on">Source!$AU$1:$AU$41</definedName>
    <definedName name="tehnikiin_turul">Source!$T$1:$T$5</definedName>
    <definedName name="tehnikiin_turul_dald">Source!$V$1:$V$7</definedName>
    <definedName name="tehnikiin_uildwerlegch">Source!$R$1:$R$20</definedName>
    <definedName name="tehnikiin_uls" localSheetId="20">Source!$O$1:$O$21</definedName>
    <definedName name="tehnikiin_uls">Source!$O$1:$O$21</definedName>
    <definedName name="tehnikiin_umch" localSheetId="20">Source!$Q$1:$Q$2</definedName>
    <definedName name="tehnikiin_umch">Source!$Q$1:$Q$2</definedName>
    <definedName name="teselgeenii_alban_tushaal" localSheetId="20">Source!$N$1:$N$3</definedName>
    <definedName name="teselgeenii_alban_tushaal">Source!$N$1:$N$3</definedName>
    <definedName name="teselgeenii_bodisiin_ner" localSheetId="20">Source!$L$1:$L$15</definedName>
    <definedName name="teselgeenii_bodisiin_ner">Source!$L$1:$L$15</definedName>
    <definedName name="teselgeenii_comp" localSheetId="20">Source!$AV$1:$AV$97</definedName>
    <definedName name="teselgeenii_comp">Source!$AV$1:$AV$97</definedName>
    <definedName name="tsahilgaan_erchim_huch" localSheetId="20">Source!$H$1:$H$10</definedName>
    <definedName name="tsahilgaan_erchim_huch">Source!$H$1:$H$10</definedName>
    <definedName name="tsahilgaanii_eh">Source!$H$1:$H$10</definedName>
    <definedName name="usnii_eh_saw" localSheetId="20">Source!$I$1:$I$29</definedName>
    <definedName name="usnii_eh_saw">Source!$I$1:$I$29</definedName>
    <definedName name="usnii_eh_uuswer" localSheetId="20">Source!$J$1:$J$6</definedName>
    <definedName name="usnii_eh_uuswer">Source!$J$1:$J$6</definedName>
    <definedName name="yesno" localSheetId="20">Source!$E$1:$E$2</definedName>
    <definedName name="yesno">Source!$E$1:$E$2</definedName>
    <definedName name="z_1">Source!$CQ$2:$CQ$3</definedName>
    <definedName name="z_2">Source!$CR$2:$CR$4</definedName>
    <definedName name="z_3">Source!$CS$2:$CS$3</definedName>
    <definedName name="z_4">Source!$CT$2</definedName>
    <definedName name="zasag" localSheetId="20">Source!$CK$1:$CK$2</definedName>
    <definedName name="zasag">Source!$CK$1:$CK$2</definedName>
    <definedName name="zasag_bus" localSheetId="20">Source!$CL$1:$CL$2</definedName>
    <definedName name="zasag_bus">Source!$CL$1:$CL$2</definedName>
    <definedName name="zzasag_gadaad" localSheetId="20">Source!$CM$1:$CM$4</definedName>
    <definedName name="zzasag_gadaad">Source!$CM$1:$CM$4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41" l="1"/>
  <c r="H18" i="41"/>
  <c r="H26" i="41" s="1"/>
  <c r="E19" i="42" l="1"/>
  <c r="D19" i="42"/>
  <c r="L21" i="41" l="1"/>
  <c r="L18" i="41"/>
  <c r="K21" i="41"/>
  <c r="K18" i="41"/>
  <c r="I21" i="41"/>
  <c r="I18" i="41"/>
  <c r="I26" i="41" s="1"/>
  <c r="F21" i="41"/>
  <c r="F18" i="41"/>
  <c r="F26" i="41" s="1"/>
  <c r="L26" i="41" l="1"/>
  <c r="K26" i="41"/>
  <c r="C42" i="7"/>
  <c r="L42" i="26" l="1"/>
  <c r="H42" i="26"/>
  <c r="E10" i="28" l="1"/>
  <c r="J3" i="28"/>
  <c r="G43" i="28"/>
  <c r="G19" i="36"/>
  <c r="F19" i="36"/>
  <c r="I7" i="28" l="1"/>
  <c r="I8" i="28"/>
  <c r="I9" i="28"/>
  <c r="I6" i="28"/>
  <c r="H13" i="50"/>
  <c r="G2" i="50" l="1"/>
  <c r="K4" i="26"/>
  <c r="D53" i="28" l="1"/>
  <c r="D54" i="28" l="1"/>
  <c r="D56" i="28"/>
  <c r="C50" i="28"/>
  <c r="Q50" i="28"/>
  <c r="P50" i="28"/>
  <c r="E38" i="44"/>
  <c r="E35" i="44"/>
  <c r="E22" i="44"/>
  <c r="E17" i="44"/>
  <c r="E14" i="44"/>
  <c r="E11" i="44"/>
  <c r="G57" i="43"/>
  <c r="F57" i="43"/>
  <c r="E57" i="43"/>
  <c r="D57" i="43"/>
  <c r="G46" i="43"/>
  <c r="F46" i="43"/>
  <c r="E46" i="43"/>
  <c r="D46" i="43"/>
  <c r="G42" i="43"/>
  <c r="F42" i="43"/>
  <c r="E42" i="43"/>
  <c r="D42" i="43"/>
  <c r="G38" i="43"/>
  <c r="F38" i="43"/>
  <c r="E38" i="43"/>
  <c r="D38" i="43"/>
  <c r="G26" i="43"/>
  <c r="F26" i="43"/>
  <c r="E26" i="43"/>
  <c r="D26" i="43"/>
  <c r="G23" i="43"/>
  <c r="F23" i="43"/>
  <c r="E23" i="43"/>
  <c r="D23" i="43"/>
  <c r="G11" i="43"/>
  <c r="F11" i="43"/>
  <c r="E11" i="43"/>
  <c r="D11" i="43"/>
  <c r="I19" i="42"/>
  <c r="H19" i="42"/>
  <c r="E21" i="41"/>
  <c r="E18" i="41"/>
  <c r="D18" i="40"/>
  <c r="P17" i="38"/>
  <c r="Q14" i="37"/>
  <c r="O14" i="37"/>
  <c r="G24" i="36"/>
  <c r="K23" i="36"/>
  <c r="J23" i="36"/>
  <c r="K22" i="36"/>
  <c r="J22" i="36"/>
  <c r="K21" i="36"/>
  <c r="J21" i="36"/>
  <c r="K20" i="36"/>
  <c r="J20" i="36"/>
  <c r="G18" i="36"/>
  <c r="F18" i="36"/>
  <c r="F24" i="36" s="1"/>
  <c r="K17" i="36"/>
  <c r="K24" i="36" s="1"/>
  <c r="J17" i="36"/>
  <c r="J24" i="36" s="1"/>
  <c r="K15" i="36"/>
  <c r="J15" i="36"/>
  <c r="K14" i="36"/>
  <c r="J14" i="36"/>
  <c r="E19" i="35"/>
  <c r="D19" i="35"/>
  <c r="L4" i="34"/>
  <c r="K4" i="34"/>
  <c r="L2" i="34"/>
  <c r="K2" i="34"/>
  <c r="J46" i="28"/>
  <c r="E46" i="28"/>
  <c r="E47" i="28" s="1"/>
  <c r="F45" i="28"/>
  <c r="P43" i="28"/>
  <c r="P42" i="28"/>
  <c r="Q41" i="28"/>
  <c r="O41" i="28"/>
  <c r="B41" i="28"/>
  <c r="B42" i="28" s="1"/>
  <c r="B43" i="28" s="1"/>
  <c r="J39" i="28"/>
  <c r="E38" i="28"/>
  <c r="E39" i="28" s="1"/>
  <c r="J36" i="28"/>
  <c r="C36" i="28"/>
  <c r="J35" i="28"/>
  <c r="F35" i="28"/>
  <c r="D32" i="28"/>
  <c r="B31" i="28"/>
  <c r="B32" i="28" s="1"/>
  <c r="B33" i="28" s="1"/>
  <c r="M29" i="28"/>
  <c r="K27" i="28"/>
  <c r="H26" i="28"/>
  <c r="E25" i="28"/>
  <c r="B24" i="28"/>
  <c r="M22" i="28"/>
  <c r="J21" i="28"/>
  <c r="G20" i="28"/>
  <c r="D19" i="28"/>
  <c r="I17" i="28"/>
  <c r="I18" i="28" s="1"/>
  <c r="E16" i="28"/>
  <c r="C16" i="28"/>
  <c r="E13" i="28"/>
  <c r="B12" i="28"/>
  <c r="B13" i="28" s="1"/>
  <c r="B14" i="28" s="1"/>
  <c r="B15" i="28" s="1"/>
  <c r="J11" i="28"/>
  <c r="F11" i="28"/>
  <c r="C10" i="28"/>
  <c r="C11" i="28" s="1"/>
  <c r="D6" i="28"/>
  <c r="D7" i="28" s="1"/>
  <c r="D8" i="28" s="1"/>
  <c r="D9" i="28" s="1"/>
  <c r="E4" i="28"/>
  <c r="F3" i="28"/>
  <c r="C2" i="28"/>
  <c r="N1" i="28"/>
  <c r="L18" i="38"/>
  <c r="P18" i="38"/>
  <c r="O15" i="37"/>
  <c r="E26" i="41" l="1"/>
  <c r="C51" i="28"/>
  <c r="D19" i="23" l="1"/>
  <c r="Q23" i="22"/>
  <c r="P23" i="22"/>
  <c r="Q22" i="22"/>
  <c r="P22" i="22"/>
  <c r="Q21" i="22"/>
  <c r="P21" i="22"/>
  <c r="Q20" i="22"/>
  <c r="P20" i="22"/>
  <c r="Q19" i="22"/>
  <c r="P19" i="22"/>
  <c r="Q18" i="22"/>
  <c r="P18" i="22"/>
  <c r="I24" i="22"/>
  <c r="J24" i="22"/>
  <c r="K24" i="22"/>
  <c r="L24" i="22"/>
  <c r="M24" i="22"/>
  <c r="N24" i="22"/>
  <c r="O24" i="22"/>
  <c r="H24" i="22"/>
  <c r="F24" i="22"/>
  <c r="D24" i="22"/>
  <c r="D27" i="23"/>
  <c r="D23" i="23"/>
  <c r="G12" i="7"/>
  <c r="F12" i="7"/>
  <c r="E30" i="6"/>
  <c r="D30" i="6"/>
  <c r="E12" i="6"/>
  <c r="E11" i="6" s="1"/>
  <c r="D12" i="6"/>
  <c r="E30" i="5"/>
  <c r="D30" i="5"/>
  <c r="E13" i="5"/>
  <c r="D13" i="5"/>
  <c r="D12" i="5" s="1"/>
  <c r="Q24" i="22" l="1"/>
  <c r="H25" i="22"/>
  <c r="P24" i="22"/>
  <c r="D11" i="6"/>
  <c r="E12" i="5"/>
  <c r="D25" i="22"/>
  <c r="N25" i="22"/>
  <c r="J25" i="22"/>
  <c r="L25" i="22"/>
  <c r="L29" i="10"/>
  <c r="K29" i="10"/>
  <c r="J29" i="10"/>
  <c r="I29" i="10"/>
  <c r="H29" i="10"/>
  <c r="G29" i="10"/>
  <c r="F29" i="10"/>
  <c r="E29" i="10"/>
  <c r="D29" i="10"/>
  <c r="L26" i="10"/>
  <c r="K26" i="10"/>
  <c r="J26" i="10"/>
  <c r="I26" i="10"/>
  <c r="H26" i="10"/>
  <c r="G26" i="10"/>
  <c r="F26" i="10"/>
  <c r="E26" i="10"/>
  <c r="D26" i="10"/>
  <c r="L15" i="10"/>
  <c r="K15" i="10"/>
  <c r="J15" i="10"/>
  <c r="I15" i="10"/>
  <c r="H15" i="10"/>
  <c r="G15" i="10"/>
  <c r="F15" i="10"/>
  <c r="E15" i="10"/>
  <c r="D15" i="10"/>
  <c r="P25" i="22" l="1"/>
  <c r="H15" i="50"/>
  <c r="H2" i="50" l="1"/>
  <c r="H16" i="50" s="1"/>
  <c r="H18" i="50"/>
  <c r="I2" i="50" l="1"/>
  <c r="H19" i="50" s="1"/>
  <c r="J2" i="50" s="1"/>
  <c r="I16" i="50" l="1"/>
  <c r="I15" i="50"/>
  <c r="I14" i="50"/>
  <c r="I13" i="50"/>
  <c r="I17" i="50"/>
  <c r="I12" i="50"/>
  <c r="I18" i="50"/>
</calcChain>
</file>

<file path=xl/sharedStrings.xml><?xml version="1.0" encoding="utf-8"?>
<sst xmlns="http://schemas.openxmlformats.org/spreadsheetml/2006/main" count="2977" uniqueCount="1449">
  <si>
    <t>Ашигт малтмалын төрөл</t>
  </si>
  <si>
    <t>Тусгай зөвшөөрлийн дугаар</t>
  </si>
  <si>
    <t>№</t>
  </si>
  <si>
    <t>Тайлбар</t>
  </si>
  <si>
    <t>Хэмжих нэгж</t>
  </si>
  <si>
    <t>Төлөвлөлтийн тоон утга</t>
  </si>
  <si>
    <t>Гүйцэтгэлийн тоон утга</t>
  </si>
  <si>
    <t>сая.төг</t>
  </si>
  <si>
    <t>Үзүүлэлтүүд</t>
  </si>
  <si>
    <t>Бусад</t>
  </si>
  <si>
    <t>Нэгж</t>
  </si>
  <si>
    <t>НИЙТ ЗАРДЛЫН ЗАДАРГАА</t>
  </si>
  <si>
    <t>Нийт зардал</t>
  </si>
  <si>
    <t>Үйлдвэрлэлийн зардал</t>
  </si>
  <si>
    <t>Байгаль орчныг хамгаах зардал</t>
  </si>
  <si>
    <t>Тэсэлгээний зардал</t>
  </si>
  <si>
    <t>Эрчим хүч</t>
  </si>
  <si>
    <t>Түлш шатахуун</t>
  </si>
  <si>
    <t>Сэлбэг хэрэгсэл</t>
  </si>
  <si>
    <t>ХАБЭА-н зардал</t>
  </si>
  <si>
    <t>Бусдаар гүйцэтгүүлсэн ажил</t>
  </si>
  <si>
    <t>Тээврийн зардал</t>
  </si>
  <si>
    <t>Түрээсийн төлбөр</t>
  </si>
  <si>
    <t>Үндсэн хөрөнгийн элэгдэл хорогдлын шимтгэл</t>
  </si>
  <si>
    <t>Үйлдвэрлэлийн холбогдох бусад зардал</t>
  </si>
  <si>
    <t>Хувийн хөрөнгөөр хийсэн хайгуулын ажлын зардал</t>
  </si>
  <si>
    <t>Улс, орон нутгийн төсөвт оруулсан орлого</t>
  </si>
  <si>
    <t>Маягт 15-н 2.1, 2.5, 2.12, 2.14, 2.17, 3.6, 3.7-д оруулсан тоон утгуудыг хасаж тооцсон дүн</t>
  </si>
  <si>
    <t>Бусад зардал</t>
  </si>
  <si>
    <t>Үйлдвэрлэлийн бус зардал</t>
  </si>
  <si>
    <t>Захиргааны зардал</t>
  </si>
  <si>
    <t>Зээлийн хүү</t>
  </si>
  <si>
    <t>Хандив, тусламж</t>
  </si>
  <si>
    <t>Маркетинг, менежментийн зардал</t>
  </si>
  <si>
    <t>Хүлээн авсан:</t>
  </si>
  <si>
    <t>Эдийн засагч:</t>
  </si>
  <si>
    <t>Мэргэжилтэн:</t>
  </si>
  <si>
    <t>УЛС, ОРОН НУТГИЙН ТӨСӨВТ ОРУУЛСАН ОРЛОГО</t>
  </si>
  <si>
    <t>Татвар, төлбөрүүд</t>
  </si>
  <si>
    <t>Нийт улсын төсөвт оруулсан орлого</t>
  </si>
  <si>
    <t>Улсын төсөвт төлсөн албан татвар, төлбөр, хураамж, ноогдол ашиг</t>
  </si>
  <si>
    <t>Аж ахуйн нэгж байгууллагын орлогын албан татвар</t>
  </si>
  <si>
    <t>Гаалийн албан татвар</t>
  </si>
  <si>
    <t>Нэмэгдсэн өртгийн албан татвар</t>
  </si>
  <si>
    <t>Автобензин, дизелийн түлшний албан татвар</t>
  </si>
  <si>
    <t>Хүн амын орлогын албан татвар</t>
  </si>
  <si>
    <t>Ашигт малтмалын нөөц ашигласны төлбөр</t>
  </si>
  <si>
    <t>Ашигт малтмалын нөөц ашигласны нэмэлт төлбөр</t>
  </si>
  <si>
    <t>Тусгай зөвшөөрлийн төлбөр</t>
  </si>
  <si>
    <t>Улсын төсвийн хөрөнгөөр хайуул хийсэн ордын нөхөн төлбөр</t>
  </si>
  <si>
    <t>Гадаадын мэргэжилтэн, ажилчны ажлын байрны төлбөр</t>
  </si>
  <si>
    <t>Агаарын бохирдлын төлбөр</t>
  </si>
  <si>
    <t>Нийгмийн даатгалын шимтгэл (хувь хүн)</t>
  </si>
  <si>
    <t>Нийгмийн даатгалын шимтгэл (байгууллага)</t>
  </si>
  <si>
    <t>Эрүүл мэндийн даатгалын шимтгэл (хувь хүн)</t>
  </si>
  <si>
    <t>Эрүүл мэндийн даатгалын шимтгэл (байгууллага)</t>
  </si>
  <si>
    <t>Төрийн захиргааны байгууллагад төлсөн үйлчилгээний хураамж ба бусад төлбөрүүд</t>
  </si>
  <si>
    <t>Төрийн өмчийн ноогдол ашиг</t>
  </si>
  <si>
    <t>Орон нутгийн төсөвт төлсөн албан татвар, төлбөр, хураамж, ноогдол ашиг</t>
  </si>
  <si>
    <t>Үл хөдлөх хөрөнгийн татвар</t>
  </si>
  <si>
    <t>Авто тээврийн болон өөрөө явагч хэрэгслийн албан татвар</t>
  </si>
  <si>
    <t>Газрын төлбөр</t>
  </si>
  <si>
    <t>Ус ашигласны төлбөр</t>
  </si>
  <si>
    <t>Түгээмэл тархацтай ашигт малтмалын нөөц ашигласны төлбөр</t>
  </si>
  <si>
    <t>Орон нутгийн төрийн өмчийн ноогдол ашиг</t>
  </si>
  <si>
    <t>Бусад (торгууль, төлбөр)</t>
  </si>
  <si>
    <t>ЭДИЙН ЗАСГИЙН ҮЗҮҮЛЭЛТҮҮД</t>
  </si>
  <si>
    <t>Борлуулалтын орлого *</t>
  </si>
  <si>
    <t>Уурхайн</t>
  </si>
  <si>
    <t>Бусад **</t>
  </si>
  <si>
    <t>Бусад зардал ***</t>
  </si>
  <si>
    <t>Татвар ноогдох орлого</t>
  </si>
  <si>
    <t>Аж ахуйн нэгжийн орлогын албан татвар</t>
  </si>
  <si>
    <t>Цэвэр ашиг (татварын дараах)</t>
  </si>
  <si>
    <t>Өмчлөгчид хуваарилсан ноогдол ашиг</t>
  </si>
  <si>
    <t>Ноогдол ашгийн татвар</t>
  </si>
  <si>
    <t>Үндсэн хөрөнгийн нийт үнэ</t>
  </si>
  <si>
    <t>Хөрс хуулалт</t>
  </si>
  <si>
    <t>Олборлолт</t>
  </si>
  <si>
    <t>Баяжуулалт (боловсруулалт)</t>
  </si>
  <si>
    <t>*</t>
  </si>
  <si>
    <t xml:space="preserve"> Борлуулалтын орлогын НӨАТ-тай дүнгээр бөглөнө.</t>
  </si>
  <si>
    <t>**</t>
  </si>
  <si>
    <t>Уурхайн үйл ажиллагаанаас бусад орлогыг бөглөнө.</t>
  </si>
  <si>
    <t>***</t>
  </si>
  <si>
    <t>Уурхайн үйл ажиллагаанаас зардлаас бусад зардлыг бөглөнө.</t>
  </si>
  <si>
    <t>БҮТЭЭГДЭХҮҮН БОРЛУУЛАЛТЫН ТАЙЛАН</t>
  </si>
  <si>
    <t>Огноо</t>
  </si>
  <si>
    <t>Бүтээгдэхүүний нэр, төрөл</t>
  </si>
  <si>
    <t>Худалдан авагчийн нэр</t>
  </si>
  <si>
    <t>Борлуулсан хэмжээ</t>
  </si>
  <si>
    <t>Валютийн дундаж ханш /төгрөг/</t>
  </si>
  <si>
    <t>Борлуулалтын орлого /сая.төг/</t>
  </si>
  <si>
    <t>Тоон утга</t>
  </si>
  <si>
    <t>Валютын сонголт</t>
  </si>
  <si>
    <t>1. Дотоодод</t>
  </si>
  <si>
    <t>2. Гадаадад</t>
  </si>
  <si>
    <t>3. БҮГД</t>
  </si>
  <si>
    <t>%</t>
  </si>
  <si>
    <t>ХӨРӨНГӨ ОРУУЛАЛТЫН БҮТЭЦ</t>
  </si>
  <si>
    <t>Хөрөнгө оруулалтын үзүүлэлт</t>
  </si>
  <si>
    <t>Төлөвлөгөө</t>
  </si>
  <si>
    <t>Тайлан</t>
  </si>
  <si>
    <t>Нийт</t>
  </si>
  <si>
    <t>Геологи</t>
  </si>
  <si>
    <t>Баяжуулалт</t>
  </si>
  <si>
    <t>Дэд бүтэц</t>
  </si>
  <si>
    <t>Байгаль орчин нөхөн сэргээх</t>
  </si>
  <si>
    <t>Нийгмийн хариуцлагын хүрээнд хийгдсэн</t>
  </si>
  <si>
    <t>Нийт хөрөнгө оруулалт</t>
  </si>
  <si>
    <t>Дотоодын хөрөнгө оруулалт</t>
  </si>
  <si>
    <t>1.1.1</t>
  </si>
  <si>
    <t>Өөрийн</t>
  </si>
  <si>
    <t>1.1.2</t>
  </si>
  <si>
    <t>Зээл</t>
  </si>
  <si>
    <t>1.1.3</t>
  </si>
  <si>
    <t>Үнэт цаасны</t>
  </si>
  <si>
    <t>1.1.4</t>
  </si>
  <si>
    <t>Гадаадын хөрөнгө оруулалт</t>
  </si>
  <si>
    <t>1.2.1</t>
  </si>
  <si>
    <t>1.2.2</t>
  </si>
  <si>
    <t>1.2.3</t>
  </si>
  <si>
    <t>1.2.4</t>
  </si>
  <si>
    <t>Хөрөнгө оруулалтын зарцуулалт</t>
  </si>
  <si>
    <t>Үндсэн хөрөнгө</t>
  </si>
  <si>
    <t>Эргэлтийн хөрөнгө</t>
  </si>
  <si>
    <t>Хөрөнгө оруулалтын хэлбэр</t>
  </si>
  <si>
    <t>Барилга, байгууламж</t>
  </si>
  <si>
    <t>Хүчин чадал өргөжүүлэх</t>
  </si>
  <si>
    <t>Техник, тоног төхөөрөмжийн шинэчлэлт</t>
  </si>
  <si>
    <t>Байгал орчин, нөхөн сэргээлт</t>
  </si>
  <si>
    <t>Нийнмийн хариуцлагын хүрээнд хийгдсэн</t>
  </si>
  <si>
    <t>Бүтээгдэхүүн борлуулалтын нэгж үнэ</t>
  </si>
  <si>
    <t>1-р сар</t>
  </si>
  <si>
    <t>Маягт-15</t>
  </si>
  <si>
    <t>Маягт-16</t>
  </si>
  <si>
    <t>д/д</t>
  </si>
  <si>
    <t xml:space="preserve">Нүүрсний чанарын </t>
  </si>
  <si>
    <t>Чанарын үзүүлэлтүүд</t>
  </si>
  <si>
    <t>Чийглэг</t>
  </si>
  <si>
    <t>Үнслэг</t>
  </si>
  <si>
    <t>Дэгдэмхий %</t>
  </si>
  <si>
    <t>Нийт Хүхэр%</t>
  </si>
  <si>
    <t>Илчлэг</t>
  </si>
  <si>
    <t>Ккал /кг</t>
  </si>
  <si>
    <t>Чөлөөт хөөлт</t>
  </si>
  <si>
    <t>Барьцалдах  чанар</t>
  </si>
  <si>
    <t>Уян харимхай үеийн зузаан mm</t>
  </si>
  <si>
    <t>Витринитийн ойлтын зэрэг %</t>
  </si>
  <si>
    <t>CSN/FSI</t>
  </si>
  <si>
    <t>GI</t>
  </si>
  <si>
    <t xml:space="preserve">Y </t>
  </si>
  <si>
    <t>Ордын нүүрсний чанар</t>
  </si>
  <si>
    <t>Уурхайн нүүрсний чанар</t>
  </si>
  <si>
    <t>Тухайн онд олборлосон нүүрсний чанар</t>
  </si>
  <si>
    <t>Өмнөх онд олборлосон нүүрсний чанар</t>
  </si>
  <si>
    <t>Маягт №10,Маягт №11-ийн байгаль орчны зардлын нийт дүн зөрөхгүй байх ёстой.</t>
  </si>
  <si>
    <t>Нийт цалин</t>
  </si>
  <si>
    <t>Маягт №12, 8-ийн ХАБЭАЗардлын дүн зөрөхгүй байх ёстой.</t>
  </si>
  <si>
    <t xml:space="preserve">Баяжуулалт боловсруулалтын зардал </t>
  </si>
  <si>
    <t>Нүүрс угаах, баяжуулах, боловсруулах зардал</t>
  </si>
  <si>
    <t>Маягт №16-ийн 8 ААНОАТ-ийн дүнтэй зөрөхгүй байх.</t>
  </si>
  <si>
    <t>1 тн нүүрсний борлуулалтын үнэ 
Нүүрсийг</t>
  </si>
  <si>
    <t>Төг/тн</t>
  </si>
  <si>
    <t xml:space="preserve">Экспортын үнэ : </t>
  </si>
  <si>
    <t xml:space="preserve">Уурхайн аман дээрх  үнэ: </t>
  </si>
  <si>
    <t>Баяжуулсан коксжих</t>
  </si>
  <si>
    <t>Түүхий коксжих нүүрс</t>
  </si>
  <si>
    <t xml:space="preserve">Сул коксжих нүүрс </t>
  </si>
  <si>
    <t>Эрчим хүчний нүүрс /Завсрын бүтээгдэхүүн/</t>
  </si>
  <si>
    <t>Хил дээрх нүүрсний үнэ</t>
  </si>
  <si>
    <t>Маягт №14 нийт зардлын дүнтэй зөрөхгүй байх.</t>
  </si>
  <si>
    <t>Жич: 1 тонн нүүрсний үнийг жилийн дунджаар гаргана.</t>
  </si>
  <si>
    <t xml:space="preserve">Тайлан гаргасан:  </t>
  </si>
  <si>
    <t>Ерөнхий инженер:</t>
  </si>
  <si>
    <t>Нөөцийн зэрэг</t>
  </si>
  <si>
    <t>Анхны батлагдсан нөөц</t>
  </si>
  <si>
    <t>Эдийн засгийн үр ашигтай нөөц</t>
  </si>
  <si>
    <t>Тодорхой нөхцөлд эдийн засгийн үр ашигтай нөөц</t>
  </si>
  <si>
    <t>Блокийн дугаар</t>
  </si>
  <si>
    <t>Давхаргын дугаар</t>
  </si>
  <si>
    <t>А</t>
  </si>
  <si>
    <t>Нийт А</t>
  </si>
  <si>
    <t>В</t>
  </si>
  <si>
    <t>Нийт В</t>
  </si>
  <si>
    <t>С</t>
  </si>
  <si>
    <t>Нийт С</t>
  </si>
  <si>
    <t>Нийт А+В+С</t>
  </si>
  <si>
    <t>НӨӨЦИЙН ХЭСГИЙН МЭДЭЭЛЭЛ</t>
  </si>
  <si>
    <t xml:space="preserve">Төрөл </t>
  </si>
  <si>
    <t>Ордын хэсгийн нэр</t>
  </si>
  <si>
    <t>Тухайн онд ашиглалтанд өртсөн нөөцийн талбайн солбицол:</t>
  </si>
  <si>
    <t>Төв цэгийн координат байна.</t>
  </si>
  <si>
    <t>Нөөцийг улсын бүртгэлд бүртгэсэн:</t>
  </si>
  <si>
    <t>а. Байгууллагын нэр</t>
  </si>
  <si>
    <t>б. Шийдвэрийн дугаар</t>
  </si>
  <si>
    <t>в.Огноо</t>
  </si>
  <si>
    <t>г. Протоколын дугаар</t>
  </si>
  <si>
    <t>д.Огноо</t>
  </si>
  <si>
    <t>Уурхайн хүрээн дэх ашиглалтын нөөцийг энэ хүснэгтэнд зэрэг тус бүрээр ялгаж бичнэ.</t>
  </si>
  <si>
    <t>Геологич:</t>
  </si>
  <si>
    <t>Нөөцийн хэмжээ А+В+С/ ЭЗҮА  нөөц/,тн</t>
  </si>
  <si>
    <t>Тодорхой нөхцөлд ЭЗҮА нөөц А+В+С, тн</t>
  </si>
  <si>
    <t>ТЭЗҮ-д тусгагдсан ашиглалтын нөөц А+В+С,тн</t>
  </si>
  <si>
    <t>мян.тн</t>
  </si>
  <si>
    <t>Нийт бүтээгдэхүүний нийлбэр /гадаад/</t>
  </si>
  <si>
    <t>Нийт бүтээгдэхүүний нийлбэр /дотоод/</t>
  </si>
  <si>
    <t xml:space="preserve">Нийт бүтээгдэхүүний нийлбэр </t>
  </si>
  <si>
    <t>. . . . . оны . . . . . сарын . . . . . –ний/ны өдөр</t>
  </si>
  <si>
    <t>. . . он</t>
  </si>
  <si>
    <t>(блок нээсэн)</t>
  </si>
  <si>
    <t>(блок хаасан)</t>
  </si>
  <si>
    <t>Блокын дугаар</t>
  </si>
  <si>
    <t>Нүүрсний давхаргын дугаар</t>
  </si>
  <si>
    <t>Ашиглалтын үеийн нөөцийн хяналт</t>
  </si>
  <si>
    <t>Ашиглалтын үеийн блокын эзлэхүүн</t>
  </si>
  <si>
    <t>тн</t>
  </si>
  <si>
    <t>Ашиглалт явагдсан блокын геологийн нөөц (нөөцийн тооцоогоор)</t>
  </si>
  <si>
    <t>Нүүрс гаргалт (балансын нөөцөд)</t>
  </si>
  <si>
    <t>Нүүрс гаргалт (балансын бус нөөцөд)</t>
  </si>
  <si>
    <t>Сааж исэлдсэн нүүрс гаргалт</t>
  </si>
  <si>
    <t>Шилжсэн нөөц (нөөцийн зөрүү)</t>
  </si>
  <si>
    <t>Ашиглалтын явцад нэмэгдсэн нөөц</t>
  </si>
  <si>
    <t>Ашиглалтын явцад хасагдсан нөөц</t>
  </si>
  <si>
    <t>Блокын эзлэхүүн жин</t>
  </si>
  <si>
    <t>Ашиглалтын үеийн хаягдал, бохирдолт</t>
  </si>
  <si>
    <t>Ашиглалтын үеийн хаягдал</t>
  </si>
  <si>
    <t>Технологийн горим зөрчлөөс гарсан хаягдал</t>
  </si>
  <si>
    <t>Бусад шалтгаанаар гарсан хаягдал</t>
  </si>
  <si>
    <t>Нийт хаягдал</t>
  </si>
  <si>
    <t>Бохирдолт</t>
  </si>
  <si>
    <t xml:space="preserve">                                 </t>
  </si>
  <si>
    <t xml:space="preserve"> </t>
  </si>
  <si>
    <t>Эдийн засгийн үр ашигтай нөөц, 1000 тн</t>
  </si>
  <si>
    <t>Тодорхой нөхцөлд эдийн засгийн үр ашигтай нөөц, 1000 тн</t>
  </si>
  <si>
    <t xml:space="preserve">      Оны эцсийн үлдэгдэл нөөц, 1000 тн</t>
  </si>
  <si>
    <t>Оны эхэн дэх нөөц, 1000 тн</t>
  </si>
  <si>
    <t>Олборлолт, 1000 тн</t>
  </si>
  <si>
    <t>Ашиглалтын хаягдал, 1000 тн</t>
  </si>
  <si>
    <t>Ашиглалтын бохирдол, 1000 тн</t>
  </si>
  <si>
    <t>Ерөнхий геологич:</t>
  </si>
  <si>
    <t>Танилцсан</t>
  </si>
  <si>
    <t>Маркшейдер:</t>
  </si>
  <si>
    <t>НӨӨЦИЙН БЛОК НЭЭСЭН, ХААСАН АКТ</t>
  </si>
  <si>
    <r>
      <t>кг/м</t>
    </r>
    <r>
      <rPr>
        <vertAlign val="superscript"/>
        <sz val="9"/>
        <color theme="1"/>
        <rFont val="Arial"/>
        <family val="2"/>
      </rPr>
      <t>3</t>
    </r>
  </si>
  <si>
    <t xml:space="preserve"> Төлөвлөгдсөн бохирдолт</t>
  </si>
  <si>
    <t xml:space="preserve"> Төлөвлөгдөөгүй бохирдолт</t>
  </si>
  <si>
    <t xml:space="preserve">      Ашигт малтмал, газрын тосны газар</t>
  </si>
  <si>
    <t xml:space="preserve">                              Тусгай зөвшөөрлийн дугаар</t>
  </si>
  <si>
    <t xml:space="preserve">                                                    АШИГЛАЛТАНД ӨРТСӨН НӨӨЦ</t>
  </si>
  <si>
    <t>Маягт-2</t>
  </si>
  <si>
    <t xml:space="preserve">          Ашигт малтмал, газрын тосны газар</t>
  </si>
  <si>
    <t xml:space="preserve">    Ашигт малтмал, газрын тосны газар</t>
  </si>
  <si>
    <t>НҮҮРСНИЙ ЧАНАРЫН ҮЗҮҮЛЭЛТ</t>
  </si>
  <si>
    <t xml:space="preserve">                              Инженер:</t>
  </si>
  <si>
    <r>
      <t>W</t>
    </r>
    <r>
      <rPr>
        <vertAlign val="superscript"/>
        <sz val="9"/>
        <color theme="1"/>
        <rFont val="Arial"/>
        <family val="2"/>
      </rPr>
      <t>ar</t>
    </r>
  </si>
  <si>
    <r>
      <t>W</t>
    </r>
    <r>
      <rPr>
        <vertAlign val="superscript"/>
        <sz val="9"/>
        <color theme="1"/>
        <rFont val="Arial"/>
        <family val="2"/>
      </rPr>
      <t>ad</t>
    </r>
  </si>
  <si>
    <r>
      <t>A</t>
    </r>
    <r>
      <rPr>
        <vertAlign val="superscript"/>
        <sz val="9"/>
        <color theme="1"/>
        <rFont val="Arial"/>
        <family val="2"/>
      </rPr>
      <t>ad</t>
    </r>
  </si>
  <si>
    <r>
      <t>A</t>
    </r>
    <r>
      <rPr>
        <vertAlign val="superscript"/>
        <sz val="9"/>
        <color theme="1"/>
        <rFont val="Arial"/>
        <family val="2"/>
      </rPr>
      <t>d</t>
    </r>
  </si>
  <si>
    <r>
      <t>V</t>
    </r>
    <r>
      <rPr>
        <vertAlign val="superscript"/>
        <sz val="9"/>
        <color theme="1"/>
        <rFont val="Arial"/>
        <family val="2"/>
      </rPr>
      <t>ad</t>
    </r>
  </si>
  <si>
    <r>
      <t>V</t>
    </r>
    <r>
      <rPr>
        <vertAlign val="superscript"/>
        <sz val="9"/>
        <color theme="1"/>
        <rFont val="Arial"/>
        <family val="2"/>
      </rPr>
      <t>daf</t>
    </r>
  </si>
  <si>
    <r>
      <t>St</t>
    </r>
    <r>
      <rPr>
        <vertAlign val="superscript"/>
        <sz val="9"/>
        <color theme="1"/>
        <rFont val="Arial"/>
        <family val="2"/>
      </rPr>
      <t>ad</t>
    </r>
  </si>
  <si>
    <r>
      <t>St</t>
    </r>
    <r>
      <rPr>
        <vertAlign val="superscript"/>
        <sz val="9"/>
        <color theme="1"/>
        <rFont val="Arial"/>
        <family val="2"/>
      </rPr>
      <t>d</t>
    </r>
  </si>
  <si>
    <r>
      <t>Q</t>
    </r>
    <r>
      <rPr>
        <vertAlign val="subscript"/>
        <sz val="9"/>
        <color theme="1"/>
        <rFont val="Arial"/>
        <family val="2"/>
      </rPr>
      <t>b</t>
    </r>
    <r>
      <rPr>
        <vertAlign val="superscript"/>
        <sz val="9"/>
        <color theme="1"/>
        <rFont val="Arial"/>
        <family val="2"/>
      </rPr>
      <t>ad</t>
    </r>
  </si>
  <si>
    <r>
      <t>Q</t>
    </r>
    <r>
      <rPr>
        <vertAlign val="superscript"/>
        <sz val="9"/>
        <color theme="1"/>
        <rFont val="Arial"/>
        <family val="2"/>
      </rPr>
      <t>daf</t>
    </r>
  </si>
  <si>
    <r>
      <t>Q</t>
    </r>
    <r>
      <rPr>
        <vertAlign val="subscript"/>
        <sz val="9"/>
        <color theme="1"/>
        <rFont val="Arial"/>
        <family val="2"/>
      </rPr>
      <t>net</t>
    </r>
    <r>
      <rPr>
        <vertAlign val="superscript"/>
        <sz val="9"/>
        <color theme="1"/>
        <rFont val="Arial"/>
        <family val="2"/>
      </rPr>
      <t>ar</t>
    </r>
  </si>
  <si>
    <r>
      <t>Q</t>
    </r>
    <r>
      <rPr>
        <vertAlign val="subscript"/>
        <sz val="9"/>
        <color theme="1"/>
        <rFont val="Arial"/>
        <family val="2"/>
      </rPr>
      <t>mmaf</t>
    </r>
  </si>
  <si>
    <r>
      <t>R</t>
    </r>
    <r>
      <rPr>
        <vertAlign val="subscript"/>
        <sz val="9"/>
        <color theme="1"/>
        <rFont val="Arial"/>
        <family val="2"/>
      </rPr>
      <t>o</t>
    </r>
    <r>
      <rPr>
        <sz val="9"/>
        <color theme="1"/>
        <rFont val="Arial"/>
        <family val="2"/>
      </rPr>
      <t xml:space="preserve"> </t>
    </r>
  </si>
  <si>
    <t xml:space="preserve">   Маягт- 4</t>
  </si>
  <si>
    <t xml:space="preserve">              Хүлээн авсан:</t>
  </si>
  <si>
    <t xml:space="preserve">             Мэргэжилтэн:</t>
  </si>
  <si>
    <t xml:space="preserve">         Ашигт малтмал, газрын тосны газар</t>
  </si>
  <si>
    <t xml:space="preserve">             Ашигт малтмал, газрын тосны газар</t>
  </si>
  <si>
    <t xml:space="preserve">            Ашигт малтмал, газрын тосны газар</t>
  </si>
  <si>
    <t>Тайлангийн он:</t>
  </si>
  <si>
    <t>Нүүрсийг жижиглэн болон айл өрхөд борлуулсан үнэ</t>
  </si>
  <si>
    <t>Нүүрсийг  үйлдвэр, аж ахуйн газарт  борлуулсан үнэ</t>
  </si>
  <si>
    <t>ДЦС-д борлуулсан үнэ</t>
  </si>
  <si>
    <t>Тоног төхөөрөмж</t>
  </si>
  <si>
    <t>4.1.1</t>
  </si>
  <si>
    <t>4.1.2</t>
  </si>
  <si>
    <t>4.5.1</t>
  </si>
  <si>
    <t>4.5.2</t>
  </si>
  <si>
    <t>Тайлангийн он</t>
  </si>
  <si>
    <t>Төлөвлөгдөөгүй хаягдал</t>
  </si>
  <si>
    <t>Төлөвлөгдсөн хаягдал</t>
  </si>
  <si>
    <t xml:space="preserve">                    Тайлангийн он</t>
  </si>
  <si>
    <t xml:space="preserve">                         Ашигт малтмалын төрөл</t>
  </si>
  <si>
    <t>төг/м3</t>
  </si>
  <si>
    <t>төг/тонн</t>
  </si>
  <si>
    <t xml:space="preserve">       Эдийн засагч</t>
  </si>
  <si>
    <t xml:space="preserve">    Маягт-2.1</t>
  </si>
  <si>
    <t>Ашигт малтмал, газрын тосны газар</t>
  </si>
  <si>
    <t>12-р сар</t>
  </si>
  <si>
    <t>11-р сар</t>
  </si>
  <si>
    <t>10-р сар</t>
  </si>
  <si>
    <t>9-р сар</t>
  </si>
  <si>
    <t>8-р сар</t>
  </si>
  <si>
    <t>7-р сар</t>
  </si>
  <si>
    <t>6-р сар</t>
  </si>
  <si>
    <t>5-р сар</t>
  </si>
  <si>
    <t>4-р сар</t>
  </si>
  <si>
    <t>3-р сар</t>
  </si>
  <si>
    <t>2-р сар</t>
  </si>
  <si>
    <t>Сонгоно уу...</t>
  </si>
  <si>
    <t>MNT</t>
  </si>
  <si>
    <t>Тийм</t>
  </si>
  <si>
    <t>A</t>
  </si>
  <si>
    <t>Баруун бүс ЭХС</t>
  </si>
  <si>
    <t>Сэлэнгэ мөрөн</t>
  </si>
  <si>
    <t>Гадарга (гол, горхи, нуур, цөөрөм)</t>
  </si>
  <si>
    <t>Байнгын</t>
  </si>
  <si>
    <t>Эмульс</t>
  </si>
  <si>
    <t>Тэсэлгээний удирдагч</t>
  </si>
  <si>
    <t>Монгол</t>
  </si>
  <si>
    <t>мото/цаг</t>
  </si>
  <si>
    <t>CATERPILLAR</t>
  </si>
  <si>
    <t>АНУ</t>
  </si>
  <si>
    <t>Эксковатор</t>
  </si>
  <si>
    <t>м3</t>
  </si>
  <si>
    <t>Компрессор</t>
  </si>
  <si>
    <t>м3/мин</t>
  </si>
  <si>
    <t>Ангилан ялгах</t>
  </si>
  <si>
    <t>c_1</t>
  </si>
  <si>
    <t>cc_1</t>
  </si>
  <si>
    <t>ccc_1</t>
  </si>
  <si>
    <t>cccc_1</t>
  </si>
  <si>
    <t>c_3</t>
  </si>
  <si>
    <t>Адуун чулуу</t>
  </si>
  <si>
    <t>Тэжээх төхөөрөмж</t>
  </si>
  <si>
    <t>ab_1</t>
  </si>
  <si>
    <t>Чичиргээт</t>
  </si>
  <si>
    <t>Бункер</t>
  </si>
  <si>
    <t>тн/цаг</t>
  </si>
  <si>
    <t>aa_1</t>
  </si>
  <si>
    <t>Алт (Au)</t>
  </si>
  <si>
    <t>Мөнгө (Ag)</t>
  </si>
  <si>
    <t>Засгийн газар</t>
  </si>
  <si>
    <t>Хувь хүн</t>
  </si>
  <si>
    <t>Aerophine-3418A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</si>
  <si>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>PS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Na</t>
    </r>
  </si>
  <si>
    <t>Бүт2</t>
  </si>
  <si>
    <t>USD</t>
  </si>
  <si>
    <t>кг</t>
  </si>
  <si>
    <t>Үгүй</t>
  </si>
  <si>
    <t>B</t>
  </si>
  <si>
    <t>Алтай-Улиастайн ЭХС</t>
  </si>
  <si>
    <t>Хөвсгөл нуур - Эг</t>
  </si>
  <si>
    <t>Гүн (шүүрэл, худаг)</t>
  </si>
  <si>
    <t>Түр</t>
  </si>
  <si>
    <t>Анфо</t>
  </si>
  <si>
    <t>Нярав</t>
  </si>
  <si>
    <t>Орос</t>
  </si>
  <si>
    <t>нэг.км</t>
  </si>
  <si>
    <t>Түрээс</t>
  </si>
  <si>
    <t>HOWO</t>
  </si>
  <si>
    <t>БНХАУ</t>
  </si>
  <si>
    <t>Автосамосвал</t>
  </si>
  <si>
    <t>Өргөх төхөөрөмж</t>
  </si>
  <si>
    <t>Баяжуулалт хийгдэхгүй</t>
  </si>
  <si>
    <t>c_2</t>
  </si>
  <si>
    <t>cc_2</t>
  </si>
  <si>
    <t>ccc_2</t>
  </si>
  <si>
    <t>cccc_2</t>
  </si>
  <si>
    <t>Идэвхжүүлсэн нүүрс</t>
  </si>
  <si>
    <t>C</t>
  </si>
  <si>
    <t>Цэвэрлэгээ</t>
  </si>
  <si>
    <t>кг/тн</t>
  </si>
  <si>
    <t>Кг</t>
  </si>
  <si>
    <r>
      <t>Дарагч</t>
    </r>
    <r>
      <rPr>
        <sz val="11"/>
        <color theme="1"/>
        <rFont val="Arial"/>
        <family val="2"/>
      </rPr>
      <t/>
    </r>
  </si>
  <si>
    <t>гр/тн</t>
  </si>
  <si>
    <t>Апа Менежмент</t>
  </si>
  <si>
    <t>Шигшүүр</t>
  </si>
  <si>
    <t>ab_2</t>
  </si>
  <si>
    <t>Гулдмай сараалжин</t>
  </si>
  <si>
    <t>Нуман</t>
  </si>
  <si>
    <t>Хүрдэт</t>
  </si>
  <si>
    <r>
      <t>м</t>
    </r>
    <r>
      <rPr>
        <vertAlign val="superscript"/>
        <sz val="10"/>
        <color theme="1"/>
        <rFont val="Arial"/>
        <family val="2"/>
      </rPr>
      <t>3</t>
    </r>
  </si>
  <si>
    <t>aa_2</t>
  </si>
  <si>
    <t>Орон нутаг</t>
  </si>
  <si>
    <t>Компани</t>
  </si>
  <si>
    <t>AF7433</t>
  </si>
  <si>
    <t>Бүт3</t>
  </si>
  <si>
    <t>CNY</t>
  </si>
  <si>
    <t>унци</t>
  </si>
  <si>
    <t>Төвийн ЭХС</t>
  </si>
  <si>
    <t>Шишхэд</t>
  </si>
  <si>
    <t>Үүсмэл нуур</t>
  </si>
  <si>
    <t>Богино хугацааны</t>
  </si>
  <si>
    <t>Игданит</t>
  </si>
  <si>
    <t>Тэсэлгээчин</t>
  </si>
  <si>
    <t>Хятад</t>
  </si>
  <si>
    <t>XCMG</t>
  </si>
  <si>
    <t>БНСУ</t>
  </si>
  <si>
    <t>Утгуурт ачигч</t>
  </si>
  <si>
    <t>Перфоратор</t>
  </si>
  <si>
    <t>мм</t>
  </si>
  <si>
    <t>Газар доор уусгах</t>
  </si>
  <si>
    <t>cc_3</t>
  </si>
  <si>
    <t>ccc_3</t>
  </si>
  <si>
    <t>cccc_3</t>
  </si>
  <si>
    <r>
      <t>Калцийн гипохлорид</t>
    </r>
    <r>
      <rPr>
        <sz val="11"/>
        <color theme="1"/>
        <rFont val="Arial"/>
        <family val="2"/>
      </rPr>
      <t/>
    </r>
  </si>
  <si>
    <r>
      <t>Ca(OCl)</t>
    </r>
    <r>
      <rPr>
        <vertAlign val="subscript"/>
        <sz val="11"/>
        <rFont val="Calibri"/>
        <family val="2"/>
        <scheme val="minor"/>
      </rPr>
      <t>2</t>
    </r>
  </si>
  <si>
    <t>Орчин тохируулагч</t>
  </si>
  <si>
    <t>кг/м3</t>
  </si>
  <si>
    <t>Тн</t>
  </si>
  <si>
    <t>Hydrogen fluoride</t>
  </si>
  <si>
    <t>HF</t>
  </si>
  <si>
    <r>
      <t>Дарагч болон Идэвхжүүлэгч</t>
    </r>
    <r>
      <rPr>
        <sz val="11"/>
        <color rgb="FFF79646"/>
        <rFont val="Arial"/>
        <family val="2"/>
      </rPr>
      <t/>
    </r>
  </si>
  <si>
    <t>л/тн</t>
  </si>
  <si>
    <t>Аранжинболд</t>
  </si>
  <si>
    <t>Бутлуур</t>
  </si>
  <si>
    <t>ab_3</t>
  </si>
  <si>
    <t>Хацарт</t>
  </si>
  <si>
    <t>Конусан</t>
  </si>
  <si>
    <t>Булт</t>
  </si>
  <si>
    <t>Алхат</t>
  </si>
  <si>
    <t>Роторт</t>
  </si>
  <si>
    <r>
      <t>м</t>
    </r>
    <r>
      <rPr>
        <vertAlign val="superscript"/>
        <sz val="10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</si>
  <si>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t>aa_3</t>
  </si>
  <si>
    <r>
      <t>BK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4</t>
    </r>
  </si>
  <si>
    <t>Бүт4</t>
  </si>
  <si>
    <t>EUR</t>
  </si>
  <si>
    <t>гр</t>
  </si>
  <si>
    <r>
      <t>C</t>
    </r>
    <r>
      <rPr>
        <vertAlign val="subscript"/>
        <sz val="10"/>
        <color rgb="FF000000"/>
        <rFont val="Arial"/>
        <family val="2"/>
      </rPr>
      <t>1</t>
    </r>
  </si>
  <si>
    <t>Дорнод бүсийн ЭХС</t>
  </si>
  <si>
    <t>Дэлгэр мөрөн - Бүгсүй</t>
  </si>
  <si>
    <t>Зөөвөр</t>
  </si>
  <si>
    <t>Эмулин</t>
  </si>
  <si>
    <t>Австрали</t>
  </si>
  <si>
    <t>HYUNDAI</t>
  </si>
  <si>
    <t>ОХУ</t>
  </si>
  <si>
    <t>Өрмийн машин</t>
  </si>
  <si>
    <t>Далд ачигч</t>
  </si>
  <si>
    <t>Гар ялгалт</t>
  </si>
  <si>
    <t>c_4</t>
  </si>
  <si>
    <t>cc_4</t>
  </si>
  <si>
    <t>ccc_4</t>
  </si>
  <si>
    <t>cccc_4</t>
  </si>
  <si>
    <r>
      <t>Идэвхжүүлсэн шохой</t>
    </r>
    <r>
      <rPr>
        <sz val="11"/>
        <color theme="1"/>
        <rFont val="Arial"/>
        <family val="2"/>
      </rPr>
      <t/>
    </r>
  </si>
  <si>
    <r>
      <t>Ca(OH)</t>
    </r>
    <r>
      <rPr>
        <vertAlign val="subscript"/>
        <sz val="11"/>
        <rFont val="Calibri"/>
        <family val="2"/>
        <scheme val="minor"/>
      </rPr>
      <t>2</t>
    </r>
  </si>
  <si>
    <t>Шингээх</t>
  </si>
  <si>
    <t>Л</t>
  </si>
  <si>
    <t>MIBC (Methyl Isobutyl Carbinol)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</si>
  <si>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14</t>
    </r>
    <r>
      <rPr>
        <sz val="11"/>
        <rFont val="Calibri"/>
        <family val="2"/>
        <scheme val="minor"/>
      </rPr>
      <t>O</t>
    </r>
  </si>
  <si>
    <r>
      <t>Идэвхжүүлэгч</t>
    </r>
    <r>
      <rPr>
        <sz val="11"/>
        <color rgb="FFF79646"/>
        <rFont val="Arial"/>
        <family val="2"/>
      </rPr>
      <t/>
    </r>
  </si>
  <si>
    <r>
      <t>м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/тнU</t>
    </r>
  </si>
  <si>
    <t>Арвижих Мандал</t>
  </si>
  <si>
    <t>Тээрэм</t>
  </si>
  <si>
    <t>ab_4</t>
  </si>
  <si>
    <t>Бөөрөнцөгт</t>
  </si>
  <si>
    <t>Савхат</t>
  </si>
  <si>
    <t>Өөрөө нунтарацтай</t>
  </si>
  <si>
    <t>Хайргат</t>
  </si>
  <si>
    <t>aa_4</t>
  </si>
  <si>
    <t>Сканди (Sc)</t>
  </si>
  <si>
    <t>Иттри (Y)</t>
  </si>
  <si>
    <t>Лантан (La)</t>
  </si>
  <si>
    <t>Цери (Ce)</t>
  </si>
  <si>
    <t>Празеодим (Pr)</t>
  </si>
  <si>
    <t>Неодим (Nd)</t>
  </si>
  <si>
    <t>Промети (Pm)</t>
  </si>
  <si>
    <t>Самари (Sm)</t>
  </si>
  <si>
    <t>Европи (Eu)</t>
  </si>
  <si>
    <t>Гадолини (Gd)</t>
  </si>
  <si>
    <t>Терби (Tb)</t>
  </si>
  <si>
    <t>Диспрози (Dy)</t>
  </si>
  <si>
    <t>Гольми (Ho)</t>
  </si>
  <si>
    <t>Эрби (Er)</t>
  </si>
  <si>
    <t>Тули ( Tm)</t>
  </si>
  <si>
    <t>Иттерби (Yb)</t>
  </si>
  <si>
    <t>Лютеци (Lu)</t>
  </si>
  <si>
    <t>BKLP</t>
  </si>
  <si>
    <t>Бүт5</t>
  </si>
  <si>
    <t>GBP</t>
  </si>
  <si>
    <r>
      <t>C</t>
    </r>
    <r>
      <rPr>
        <vertAlign val="subscript"/>
        <sz val="10"/>
        <color rgb="FF000000"/>
        <rFont val="Arial"/>
        <family val="2"/>
      </rPr>
      <t>2</t>
    </r>
  </si>
  <si>
    <t>Өмнөговийн бие даасан ЭХС</t>
  </si>
  <si>
    <t>Идэр</t>
  </si>
  <si>
    <t>Төвлөрсөн ус хангамж</t>
  </si>
  <si>
    <t>Шашки</t>
  </si>
  <si>
    <t>Америк</t>
  </si>
  <si>
    <t>KAMAZ</t>
  </si>
  <si>
    <t>Герман</t>
  </si>
  <si>
    <t>Бульдозер</t>
  </si>
  <si>
    <t>Тэргэнцэр</t>
  </si>
  <si>
    <t>Гравитаци</t>
  </si>
  <si>
    <t>c_5</t>
  </si>
  <si>
    <t>cc_5</t>
  </si>
  <si>
    <t>ccc_5</t>
  </si>
  <si>
    <t>cccc_5</t>
  </si>
  <si>
    <t>Шохой</t>
  </si>
  <si>
    <t>CaO</t>
  </si>
  <si>
    <t>Хоргүйжүүлэх</t>
  </si>
  <si>
    <t>MIBK (Methyl isobutyl ketone) МИБК (Метил изобутил кетон)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</si>
  <si>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</si>
  <si>
    <r>
      <t>Орчин тохируулагч</t>
    </r>
    <r>
      <rPr>
        <sz val="11"/>
        <color theme="1"/>
        <rFont val="Arial"/>
        <family val="2"/>
      </rPr>
      <t/>
    </r>
  </si>
  <si>
    <t>тн/тнU</t>
  </si>
  <si>
    <t>Афк Тавт</t>
  </si>
  <si>
    <t>ab_5</t>
  </si>
  <si>
    <t>Тунаах машин</t>
  </si>
  <si>
    <t>Хоригт цорго</t>
  </si>
  <si>
    <t>Сэгсрэх ширээ</t>
  </si>
  <si>
    <t>Шурган сепаратор</t>
  </si>
  <si>
    <t>Гидроциклон</t>
  </si>
  <si>
    <t>Төвөөс зугтах хүчний сепаратор</t>
  </si>
  <si>
    <r>
      <t>м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/цаг</t>
    </r>
  </si>
  <si>
    <t>aa_5</t>
  </si>
  <si>
    <r>
      <t>Вольфрамит (WO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</si>
  <si>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r>
      <t>Касситерит (SnO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</si>
  <si>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Вольфрам (W)</t>
  </si>
  <si>
    <t>Цагаан тугалга (Sn)</t>
  </si>
  <si>
    <t>Берилли (Be)</t>
  </si>
  <si>
    <t>Молибден (Mo)</t>
  </si>
  <si>
    <t>DF 250</t>
  </si>
  <si>
    <t>Бүт6</t>
  </si>
  <si>
    <t>KRW</t>
  </si>
  <si>
    <t>Сэргээгдэх</t>
  </si>
  <si>
    <t>Чулуут</t>
  </si>
  <si>
    <t>Ус шавхалт</t>
  </si>
  <si>
    <t>Аммонит</t>
  </si>
  <si>
    <t>Болгар</t>
  </si>
  <si>
    <t>DOOSAN</t>
  </si>
  <si>
    <t>Япон</t>
  </si>
  <si>
    <t>Дизель станц</t>
  </si>
  <si>
    <t>кВт</t>
  </si>
  <si>
    <t>Гравитаци &amp; Соронзон</t>
  </si>
  <si>
    <t>c_6</t>
  </si>
  <si>
    <t>cc_6</t>
  </si>
  <si>
    <t>ccc_6</t>
  </si>
  <si>
    <t>cccc_6</t>
  </si>
  <si>
    <r>
      <t>Флокулянт</t>
    </r>
    <r>
      <rPr>
        <sz val="11"/>
        <color theme="1"/>
        <rFont val="Arial"/>
        <family val="2"/>
      </rPr>
      <t/>
    </r>
  </si>
  <si>
    <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CHCONH</t>
    </r>
    <r>
      <rPr>
        <vertAlign val="subscript"/>
        <sz val="11"/>
        <rFont val="Calibri"/>
        <family val="2"/>
        <scheme val="minor"/>
      </rPr>
      <t>2</t>
    </r>
  </si>
  <si>
    <t>Хайлуулах</t>
  </si>
  <si>
    <r>
      <t>PAX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</si>
  <si>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KOS</t>
    </r>
    <r>
      <rPr>
        <vertAlign val="subscript"/>
        <sz val="11"/>
        <rFont val="Calibri"/>
        <family val="2"/>
        <scheme val="minor"/>
      </rPr>
      <t>2</t>
    </r>
  </si>
  <si>
    <r>
      <t>Өтгөрүүлэгч</t>
    </r>
    <r>
      <rPr>
        <sz val="11"/>
        <color rgb="FFF79646"/>
        <rFont val="Arial"/>
        <family val="2"/>
      </rPr>
      <t/>
    </r>
  </si>
  <si>
    <t>Бага нуур</t>
  </si>
  <si>
    <t>Флотаци</t>
  </si>
  <si>
    <t>ab_6</t>
  </si>
  <si>
    <t>Механик</t>
  </si>
  <si>
    <t>Пневомеханик</t>
  </si>
  <si>
    <t>Даралттай агаар өгч агааржуулалт явагдах</t>
  </si>
  <si>
    <t>Булинган дахь даралтыг бууруулах</t>
  </si>
  <si>
    <t>Электрофлотац</t>
  </si>
  <si>
    <t>aa_6</t>
  </si>
  <si>
    <t>Бүт7</t>
  </si>
  <si>
    <t>HKD</t>
  </si>
  <si>
    <t>Импорт</t>
  </si>
  <si>
    <t>Хануй</t>
  </si>
  <si>
    <t>LIUGONG</t>
  </si>
  <si>
    <t>Швед</t>
  </si>
  <si>
    <t>Вентилятор</t>
  </si>
  <si>
    <t>Гравитаци &amp; Уусгалт</t>
  </si>
  <si>
    <t>Зэсийн сульфат (Цианидыг задлах урвалд католизатор)</t>
  </si>
  <si>
    <r>
      <t>Cu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</si>
  <si>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Саармагжуулах</t>
  </si>
  <si>
    <t>PAX (Potassium Amyl Xanthate)</t>
  </si>
  <si>
    <r>
      <t>C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OCSSK</t>
    </r>
  </si>
  <si>
    <t>Салгах</t>
  </si>
  <si>
    <t>Балапан Девелопмент</t>
  </si>
  <si>
    <t>Соронзон</t>
  </si>
  <si>
    <t>ab_7</t>
  </si>
  <si>
    <t>Хуурай сул соронзон сепаратор</t>
  </si>
  <si>
    <t>Нойтон сул соронзон сепаратор</t>
  </si>
  <si>
    <t>Хуурай хүчтэй соронзон сепаратор</t>
  </si>
  <si>
    <t>Нойтон хүчтэй соронзон сепаратор</t>
  </si>
  <si>
    <t>aa_7</t>
  </si>
  <si>
    <t>Зэс (Cu)</t>
  </si>
  <si>
    <t>Бүт8</t>
  </si>
  <si>
    <t>AUD</t>
  </si>
  <si>
    <t>Өөрийн эх үүсвэр (Цахилгаан генератор)</t>
  </si>
  <si>
    <t>Орхон - Тамир</t>
  </si>
  <si>
    <t>ДША</t>
  </si>
  <si>
    <t>м</t>
  </si>
  <si>
    <t>Канад</t>
  </si>
  <si>
    <t>NISSAN</t>
  </si>
  <si>
    <t>Энэтхэг</t>
  </si>
  <si>
    <t>Нойтон орчинд соронзонгоор ангилах</t>
  </si>
  <si>
    <t>c_8</t>
  </si>
  <si>
    <t>cc_8</t>
  </si>
  <si>
    <t>ccc_8</t>
  </si>
  <si>
    <t>cccc_8</t>
  </si>
  <si>
    <r>
      <t>Төмрийн сульфат</t>
    </r>
    <r>
      <rPr>
        <sz val="11"/>
        <color theme="1"/>
        <rFont val="Arial"/>
        <family val="2"/>
      </rPr>
      <t/>
    </r>
  </si>
  <si>
    <r>
      <t>Fe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</si>
  <si>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Тундасжуулах</t>
  </si>
  <si>
    <t>PBX (Potassium Butyl Xanthate)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</si>
  <si>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OCSSK</t>
    </r>
  </si>
  <si>
    <r>
      <t>Тохируулагч</t>
    </r>
    <r>
      <rPr>
        <sz val="11"/>
        <color theme="1"/>
        <rFont val="Arial"/>
        <family val="2"/>
      </rPr>
      <t/>
    </r>
  </si>
  <si>
    <t>Баян тэгш импекс</t>
  </si>
  <si>
    <t>Гидрометаллурги</t>
  </si>
  <si>
    <t>ab_8</t>
  </si>
  <si>
    <t>Нэвчүүлэн</t>
  </si>
  <si>
    <t>Уусмалын хандлалт</t>
  </si>
  <si>
    <t>Хутгалттай уусгалт</t>
  </si>
  <si>
    <t>Даралтат</t>
  </si>
  <si>
    <t>Бактерийн</t>
  </si>
  <si>
    <t>aa_8</t>
  </si>
  <si>
    <t>Литий (Li)</t>
  </si>
  <si>
    <t>Бүт9</t>
  </si>
  <si>
    <t>CAD</t>
  </si>
  <si>
    <t>Огт хэрэглэдэггүй</t>
  </si>
  <si>
    <t>Туул</t>
  </si>
  <si>
    <t>ОША</t>
  </si>
  <si>
    <t>Малайз</t>
  </si>
  <si>
    <t>МАЗ</t>
  </si>
  <si>
    <t>Нуруулдан уусгах</t>
  </si>
  <si>
    <t>Натрийн метабисульфит (Цианидыг цианат болгон хувиргахад)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</si>
  <si>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2 </t>
    </r>
    <r>
      <rPr>
        <sz val="11"/>
        <rFont val="Calibri"/>
        <family val="2"/>
        <scheme val="minor"/>
      </rPr>
      <t>2Na</t>
    </r>
  </si>
  <si>
    <t>Дарах</t>
  </si>
  <si>
    <t>Аммоний нитрат</t>
  </si>
  <si>
    <r>
      <t>NH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NO</t>
    </r>
    <r>
      <rPr>
        <vertAlign val="subscript"/>
        <sz val="11"/>
        <rFont val="Calibri"/>
        <family val="2"/>
        <scheme val="minor"/>
      </rPr>
      <t>3</t>
    </r>
  </si>
  <si>
    <t>Баян тээг</t>
  </si>
  <si>
    <t>Цахилгаан</t>
  </si>
  <si>
    <t>ab_9</t>
  </si>
  <si>
    <t>Цахилгаан соронзон сепаратор</t>
  </si>
  <si>
    <t>aa_9</t>
  </si>
  <si>
    <r>
      <t>Магнезит (MgCO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</si>
  <si>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Магни (Mg)</t>
  </si>
  <si>
    <t>Oreprep X-133</t>
  </si>
  <si>
    <t>Бүт10</t>
  </si>
  <si>
    <t>Хараа-Шарын гол</t>
  </si>
  <si>
    <t>Өдөөгч</t>
  </si>
  <si>
    <t>ш</t>
  </si>
  <si>
    <t>Мексик</t>
  </si>
  <si>
    <t>LIEBHERR</t>
  </si>
  <si>
    <t>Овоолгон уусгах</t>
  </si>
  <si>
    <r>
      <t>Хүхрийн хүчил</t>
    </r>
    <r>
      <rPr>
        <sz val="11"/>
        <color theme="1"/>
        <rFont val="Arial"/>
        <family val="2"/>
      </rPr>
      <t/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</si>
  <si>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</si>
  <si>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r>
      <t>Бутилын 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</si>
  <si>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OCSSNa</t>
    </r>
  </si>
  <si>
    <t>Хандлагч</t>
  </si>
  <si>
    <t>Баянмандал зам</t>
  </si>
  <si>
    <t>Шатаах</t>
  </si>
  <si>
    <t>ab_10</t>
  </si>
  <si>
    <t>Шатаах зуух</t>
  </si>
  <si>
    <t>aa_10</t>
  </si>
  <si>
    <t>Манган (Mn)</t>
  </si>
  <si>
    <t>Бүт11</t>
  </si>
  <si>
    <t>Ерөө - Хүдэр - Минж</t>
  </si>
  <si>
    <t>Нонель</t>
  </si>
  <si>
    <t>Недарланд</t>
  </si>
  <si>
    <t>NORTHBENZ</t>
  </si>
  <si>
    <t>Угаах</t>
  </si>
  <si>
    <t>c_11</t>
  </si>
  <si>
    <t>cc_11</t>
  </si>
  <si>
    <t>ccc_11</t>
  </si>
  <si>
    <t>cccc_11</t>
  </si>
  <si>
    <t>Давсны хүчил</t>
  </si>
  <si>
    <t>HCl</t>
  </si>
  <si>
    <t>Нунтаглах</t>
  </si>
  <si>
    <t>Бутилын ксентогенат</t>
  </si>
  <si>
    <r>
      <t>BK322(C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Me)</t>
    </r>
  </si>
  <si>
    <r>
      <t>Хөөсрүүлэгч</t>
    </r>
    <r>
      <rPr>
        <sz val="11"/>
        <color theme="1"/>
        <rFont val="Arial"/>
        <family val="2"/>
      </rPr>
      <t/>
    </r>
  </si>
  <si>
    <t>Баян-Эрч</t>
  </si>
  <si>
    <t>ab_11</t>
  </si>
  <si>
    <t>Хэрчигч</t>
  </si>
  <si>
    <t>Шахагч</t>
  </si>
  <si>
    <t>Зуурагч</t>
  </si>
  <si>
    <t xml:space="preserve">Бусад </t>
  </si>
  <si>
    <t>aa_11</t>
  </si>
  <si>
    <t>Бүт12</t>
  </si>
  <si>
    <t>Онон</t>
  </si>
  <si>
    <t>Цочир дамжуулах шижим</t>
  </si>
  <si>
    <t>Польш</t>
  </si>
  <si>
    <t>SHANTUI</t>
  </si>
  <si>
    <t>Уриншуулах</t>
  </si>
  <si>
    <t>c_12</t>
  </si>
  <si>
    <t>cc_12</t>
  </si>
  <si>
    <t>ccc_12</t>
  </si>
  <si>
    <t>cccc_12</t>
  </si>
  <si>
    <t>Мөнгөн ус</t>
  </si>
  <si>
    <t>Hg</t>
  </si>
  <si>
    <t>Бутилын ксентогенат ВК322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</si>
  <si>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</t>
    </r>
  </si>
  <si>
    <t>Цуглуулагч</t>
  </si>
  <si>
    <t>Би Эйч Эм</t>
  </si>
  <si>
    <t>Өтгөрүүлэх, шүүх, хатаах</t>
  </si>
  <si>
    <t>ab_12</t>
  </si>
  <si>
    <t>Захдаа хөтлүүртэй өтгөрүүлэгч</t>
  </si>
  <si>
    <t>Төвдөө хөтлүүртэй өтгөрүүлэгч</t>
  </si>
  <si>
    <t>Гадаад шүүх гадаргуутай хүрдэн вакуум шүүлтүүр</t>
  </si>
  <si>
    <t>Дотоод шүүх гадаргуутай хүрдэн вакуум шүүлтүүр</t>
  </si>
  <si>
    <t>Зээрэнцэгт вакуум шүүлтүүр</t>
  </si>
  <si>
    <t>План шүүлтүүр</t>
  </si>
  <si>
    <t>Хийгээр халдаг хүрдэн хатаагуур</t>
  </si>
  <si>
    <t>Хийгээр халдаг хоолойт хатаагуур</t>
  </si>
  <si>
    <t>Уураар халдаг хүрдэн хатаагуур</t>
  </si>
  <si>
    <t>Уураар халдаг таваг хэлбэрийн хатаагуур</t>
  </si>
  <si>
    <t>aa_12</t>
  </si>
  <si>
    <t>Улз</t>
  </si>
  <si>
    <t>Гал дамжуулах шижим</t>
  </si>
  <si>
    <t>Сингапур</t>
  </si>
  <si>
    <t>NINO</t>
  </si>
  <si>
    <t>Уусгах</t>
  </si>
  <si>
    <r>
      <t>Азотын хүчил</t>
    </r>
    <r>
      <rPr>
        <sz val="11"/>
        <color theme="1"/>
        <rFont val="Arial"/>
        <family val="2"/>
      </rPr>
      <t/>
    </r>
  </si>
  <si>
    <r>
      <t>HNO</t>
    </r>
    <r>
      <rPr>
        <vertAlign val="subscript"/>
        <sz val="11"/>
        <rFont val="Calibri"/>
        <family val="2"/>
        <scheme val="minor"/>
      </rPr>
      <t>3</t>
    </r>
  </si>
  <si>
    <t>Шингэрүүлэгч</t>
  </si>
  <si>
    <t>Бласт</t>
  </si>
  <si>
    <t>Конвейер</t>
  </si>
  <si>
    <t>ab_13</t>
  </si>
  <si>
    <t>Туузан</t>
  </si>
  <si>
    <t>Ялтаст</t>
  </si>
  <si>
    <t>Хамуурт</t>
  </si>
  <si>
    <t>Шурган</t>
  </si>
  <si>
    <t>Доргиурт</t>
  </si>
  <si>
    <t>aa_13</t>
  </si>
  <si>
    <t>Төмөр (Fe)</t>
  </si>
  <si>
    <t>Хүхэр (S)</t>
  </si>
  <si>
    <t>Хэрлэн</t>
  </si>
  <si>
    <t xml:space="preserve">Хором удаашруулагч </t>
  </si>
  <si>
    <t>Өмнөд Солонгос</t>
  </si>
  <si>
    <t>KQG</t>
  </si>
  <si>
    <t>c_14</t>
  </si>
  <si>
    <t>cc_14</t>
  </si>
  <si>
    <t>ccc_14</t>
  </si>
  <si>
    <t>cccc_14</t>
  </si>
  <si>
    <r>
      <t>Бура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</si>
  <si>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B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</si>
  <si>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Бутилын ксентогенат ВК322 (хар бутилын нэгдэл)</t>
    </r>
    <r>
      <rPr>
        <sz val="11"/>
        <color theme="1"/>
        <rFont val="Arial"/>
        <family val="2"/>
      </rPr>
      <t/>
    </r>
  </si>
  <si>
    <t>Шингээгч</t>
  </si>
  <si>
    <t>Бласт мануфактуринг групп</t>
  </si>
  <si>
    <t>Насос</t>
  </si>
  <si>
    <t>ab_14</t>
  </si>
  <si>
    <t>Динамик</t>
  </si>
  <si>
    <t>Эзлэхүүн</t>
  </si>
  <si>
    <t>aa_14</t>
  </si>
  <si>
    <t>Уран (U)</t>
  </si>
  <si>
    <t>Буйр нуур - Халх гол</t>
  </si>
  <si>
    <t>Тэслүүр</t>
  </si>
  <si>
    <t>Финлянд</t>
  </si>
  <si>
    <t>TEREX</t>
  </si>
  <si>
    <t>Хуурай &amp; нойт орчинд соронзонгоор ангилах</t>
  </si>
  <si>
    <t>c_15</t>
  </si>
  <si>
    <t>cc_15</t>
  </si>
  <si>
    <t>ccc_15</t>
  </si>
  <si>
    <t>cccc_15</t>
  </si>
  <si>
    <r>
      <t>Натрийн карбонат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</si>
  <si>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CO</t>
    </r>
    <r>
      <rPr>
        <vertAlign val="subscript"/>
        <sz val="11"/>
        <rFont val="Calibri"/>
        <family val="2"/>
        <scheme val="minor"/>
      </rPr>
      <t>3</t>
    </r>
  </si>
  <si>
    <t>Дизелийн түлш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</si>
  <si>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 xml:space="preserve"> хүртэл C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36</t>
    </r>
    <r>
      <rPr>
        <sz val="11"/>
        <rFont val="Calibri"/>
        <family val="2"/>
        <scheme val="minor"/>
      </rPr>
      <t xml:space="preserve"> </t>
    </r>
  </si>
  <si>
    <t>Бласт сэлэнгэ</t>
  </si>
  <si>
    <t>Хаягдал хураагуур</t>
  </si>
  <si>
    <t>ab_15</t>
  </si>
  <si>
    <t>Шүүрүүлэх</t>
  </si>
  <si>
    <t>Цуглуулах</t>
  </si>
  <si>
    <t>aa_15</t>
  </si>
  <si>
    <r>
      <t>Усан биндэрьяа (Be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Al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(SiO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6</t>
    </r>
  </si>
  <si>
    <t>Антисклант</t>
  </si>
  <si>
    <t>-</t>
  </si>
  <si>
    <t>Мэнэнгийн тал</t>
  </si>
  <si>
    <t>Франц</t>
  </si>
  <si>
    <t>VOLVO</t>
  </si>
  <si>
    <t>Хуурай орчинд соронзонгоор ангилах</t>
  </si>
  <si>
    <t>c_16</t>
  </si>
  <si>
    <t>cc_16</t>
  </si>
  <si>
    <t>ccc_16</t>
  </si>
  <si>
    <t>cccc_16</t>
  </si>
  <si>
    <r>
      <t>Техникийн сода</t>
    </r>
    <r>
      <rPr>
        <sz val="11"/>
        <color theme="1"/>
        <rFont val="Arial"/>
        <family val="2"/>
      </rPr>
      <t/>
    </r>
  </si>
  <si>
    <r>
      <t>Дикрезол-Дитифосфорын хүчил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</si>
  <si>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PSSH</t>
    </r>
  </si>
  <si>
    <t>Бласт холдинг</t>
  </si>
  <si>
    <t>aa_16</t>
  </si>
  <si>
    <t>Хар тугалга (Pb)</t>
  </si>
  <si>
    <t>Цайр (Zn)</t>
  </si>
  <si>
    <t>Кадми (Cd)</t>
  </si>
  <si>
    <t>Рени (Re)</t>
  </si>
  <si>
    <t>Сурьма (Sb)</t>
  </si>
  <si>
    <t>Хүнцэл (As)</t>
  </si>
  <si>
    <t>АР</t>
  </si>
  <si>
    <t>Умарт говийн гүвээт - Халхын дун</t>
  </si>
  <si>
    <t>Чех</t>
  </si>
  <si>
    <t>ATLAS COPCO</t>
  </si>
  <si>
    <t>c_17</t>
  </si>
  <si>
    <t>cc_17</t>
  </si>
  <si>
    <t>ccc_17</t>
  </si>
  <si>
    <t>cccc_17</t>
  </si>
  <si>
    <r>
      <t>Метабисульфит натри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</si>
  <si>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</si>
  <si>
    <r>
      <t>Дитиофосфат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</si>
  <si>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SSNH</t>
    </r>
    <r>
      <rPr>
        <vertAlign val="subscript"/>
        <sz val="11"/>
        <rFont val="Calibri"/>
        <family val="2"/>
        <scheme val="minor"/>
      </rPr>
      <t>4</t>
    </r>
  </si>
  <si>
    <t>Бласттек</t>
  </si>
  <si>
    <t>aa_17</t>
  </si>
  <si>
    <t>Галба - Өөш - Долоодын говь</t>
  </si>
  <si>
    <t>Шинэ Зеланд</t>
  </si>
  <si>
    <t>SHANGDONG</t>
  </si>
  <si>
    <r>
      <t>Натрийн сульфит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</si>
  <si>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3</t>
    </r>
  </si>
  <si>
    <r>
      <t>Зэсийн сульфат</t>
    </r>
    <r>
      <rPr>
        <sz val="11"/>
        <color theme="1"/>
        <rFont val="Arial"/>
        <family val="2"/>
      </rPr>
      <t/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</si>
  <si>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</si>
  <si>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t>Бэрэн майнинг</t>
  </si>
  <si>
    <t>aa_18</t>
  </si>
  <si>
    <t>Онги</t>
  </si>
  <si>
    <t>KOMAT'SU</t>
  </si>
  <si>
    <t>Натрийн цианид</t>
  </si>
  <si>
    <t>NaCN</t>
  </si>
  <si>
    <t>Гоби коул энд Энержи</t>
  </si>
  <si>
    <t>aa_19</t>
  </si>
  <si>
    <t>Алтайн өвөр говь</t>
  </si>
  <si>
    <t xml:space="preserve">KOBELCO </t>
  </si>
  <si>
    <t>Натрийн шүлт</t>
  </si>
  <si>
    <t>NaOH</t>
  </si>
  <si>
    <t>Калийн бихромат</t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</si>
  <si>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Cr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</si>
  <si>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t>Даваа мандал</t>
  </si>
  <si>
    <t>aa_20</t>
  </si>
  <si>
    <t>Таац</t>
  </si>
  <si>
    <t>Хартугалганы исэл</t>
  </si>
  <si>
    <t>PbO</t>
  </si>
  <si>
    <r>
      <t>Карбонат натри</t>
    </r>
    <r>
      <rPr>
        <sz val="11"/>
        <color theme="1"/>
        <rFont val="Arial"/>
        <family val="2"/>
      </rPr>
      <t/>
    </r>
  </si>
  <si>
    <t>Давхар тэсрэлт</t>
  </si>
  <si>
    <t>aa_21</t>
  </si>
  <si>
    <t>Орог нуур - Түй</t>
  </si>
  <si>
    <t>Кобальт</t>
  </si>
  <si>
    <r>
      <t>CoSO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*7H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</si>
  <si>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t>Доншен газрын тос /Монгол/</t>
  </si>
  <si>
    <t>aa_22</t>
  </si>
  <si>
    <t>Бал чулуу /C/</t>
  </si>
  <si>
    <t>Байдраг - Бөөн цагаан</t>
  </si>
  <si>
    <t>Дизель (kL)</t>
  </si>
  <si>
    <r>
      <t>Кониферолын тос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</si>
  <si>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OH</t>
    </r>
  </si>
  <si>
    <t>Дун юань</t>
  </si>
  <si>
    <t>aa_23</t>
  </si>
  <si>
    <t>ВК201</t>
  </si>
  <si>
    <t>Хяргас нуур - Завхан</t>
  </si>
  <si>
    <t>Флюс</t>
  </si>
  <si>
    <r>
      <t>Натрийн бутилксантогенат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</si>
  <si>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OCSSNa</t>
    </r>
  </si>
  <si>
    <t>Дунфанлунма</t>
  </si>
  <si>
    <t>aa_24</t>
  </si>
  <si>
    <t>ВК-204</t>
  </si>
  <si>
    <t>Хүйсийн говь-Цэцэг нуур</t>
  </si>
  <si>
    <t>Хаг эсэргүүцэгч</t>
  </si>
  <si>
    <r>
      <t>Натрийн диэтил тиокарбамид</t>
    </r>
    <r>
      <rPr>
        <sz val="11"/>
        <color theme="1"/>
        <rFont val="Arial"/>
        <family val="2"/>
      </rPr>
      <t/>
    </r>
  </si>
  <si>
    <r>
      <t>(CH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OCSSNa</t>
    </r>
  </si>
  <si>
    <t>Илч Түлш</t>
  </si>
  <si>
    <t>aa_25</t>
  </si>
  <si>
    <t>Үенч - Бодонч</t>
  </si>
  <si>
    <t>Цемент</t>
  </si>
  <si>
    <r>
      <t>Натрийн диэтилдитиокарбамат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</si>
  <si>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NCSSNa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</si>
  <si>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t>Илчит металл</t>
  </si>
  <si>
    <t>aa_26</t>
  </si>
  <si>
    <t>Ган бөмбөлөг</t>
  </si>
  <si>
    <t>Fe</t>
  </si>
  <si>
    <t>Булган</t>
  </si>
  <si>
    <t>Натрийн сульфат</t>
  </si>
  <si>
    <r>
      <t>NaSO</t>
    </r>
    <r>
      <rPr>
        <vertAlign val="subscript"/>
        <sz val="11"/>
        <rFont val="Calibri"/>
        <family val="2"/>
        <scheme val="minor"/>
      </rPr>
      <t>4</t>
    </r>
  </si>
  <si>
    <t>Ишиг Уул</t>
  </si>
  <si>
    <t>aa_27</t>
  </si>
  <si>
    <t>Гуартек</t>
  </si>
  <si>
    <t>Хар нуур - Ховд</t>
  </si>
  <si>
    <t xml:space="preserve">Лут чулуу </t>
  </si>
  <si>
    <t>aa_28</t>
  </si>
  <si>
    <t>Давирхай</t>
  </si>
  <si>
    <t>Resin</t>
  </si>
  <si>
    <t>Увс нуур - Тэс</t>
  </si>
  <si>
    <r>
      <t>Натрийн этилксантогенат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</si>
  <si>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OCSSNa</t>
    </r>
  </si>
  <si>
    <t>Лэнд Мэжор</t>
  </si>
  <si>
    <t>aa_29</t>
  </si>
  <si>
    <t>Органик хандлагч</t>
  </si>
  <si>
    <t>LIX-612N-LV, LIX-984N</t>
  </si>
  <si>
    <t>Майн бласт</t>
  </si>
  <si>
    <t>aa_30</t>
  </si>
  <si>
    <t>30+</t>
  </si>
  <si>
    <r>
      <t>Сода</t>
    </r>
    <r>
      <rPr>
        <sz val="11"/>
        <color theme="1"/>
        <rFont val="Arial"/>
        <family val="2"/>
      </rPr>
      <t/>
    </r>
  </si>
  <si>
    <r>
      <t>NaCO</t>
    </r>
    <r>
      <rPr>
        <vertAlign val="subscript"/>
        <sz val="11"/>
        <rFont val="Calibri"/>
        <family val="2"/>
        <scheme val="minor"/>
      </rPr>
      <t>3</t>
    </r>
  </si>
  <si>
    <t>Майнсофт</t>
  </si>
  <si>
    <t>aa_31</t>
  </si>
  <si>
    <t>Шохой (CaO)</t>
  </si>
  <si>
    <t>Техникийн тосны хүчил (ЖКТМ-Жирные кислоты таллового масла)</t>
  </si>
  <si>
    <t>CH3-(CH2)n-COOH</t>
  </si>
  <si>
    <t>Максам Эксплозивс</t>
  </si>
  <si>
    <t>aa_32</t>
  </si>
  <si>
    <t>Устөрөгчийн давхар исэл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</si>
  <si>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2</t>
    </r>
  </si>
  <si>
    <t>Мастер майнинг</t>
  </si>
  <si>
    <t>aa_33</t>
  </si>
  <si>
    <t>Хлорын шохой</t>
  </si>
  <si>
    <r>
      <t>СаOCl</t>
    </r>
    <r>
      <rPr>
        <vertAlign val="subscript"/>
        <sz val="11"/>
        <rFont val="Calibri"/>
        <family val="2"/>
        <scheme val="minor"/>
      </rPr>
      <t>2</t>
    </r>
  </si>
  <si>
    <t>Мера</t>
  </si>
  <si>
    <t>aa_34</t>
  </si>
  <si>
    <t>Хүхрийн хүчил</t>
  </si>
  <si>
    <t>Минжит булган гол</t>
  </si>
  <si>
    <t>aa_35</t>
  </si>
  <si>
    <r>
      <t>Хүхрийн хүчлийн альюмений</t>
    </r>
    <r>
      <rPr>
        <sz val="11"/>
        <color theme="1"/>
        <rFont val="Arial"/>
        <family val="2"/>
      </rPr>
      <t/>
    </r>
  </si>
  <si>
    <r>
      <t>Al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</si>
  <si>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ММНС</t>
  </si>
  <si>
    <t>aa_36</t>
  </si>
  <si>
    <t>Хүхэрт натри (сульфид натри, сернистыий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</si>
  <si>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</si>
  <si>
    <t>МН Жойн</t>
  </si>
  <si>
    <t>aa_37</t>
  </si>
  <si>
    <r>
      <t>Цайрын сульфат</t>
    </r>
    <r>
      <rPr>
        <sz val="11"/>
        <color theme="1"/>
        <rFont val="Arial"/>
        <family val="2"/>
      </rPr>
      <t/>
    </r>
  </si>
  <si>
    <r>
      <t>ZnSO</t>
    </r>
    <r>
      <rPr>
        <vertAlign val="subscript"/>
        <sz val="11"/>
        <rFont val="Calibri"/>
        <family val="2"/>
        <scheme val="minor"/>
      </rPr>
      <t>4</t>
    </r>
  </si>
  <si>
    <t>Могойн гол</t>
  </si>
  <si>
    <t>aa_38</t>
  </si>
  <si>
    <t>Цианид натри</t>
  </si>
  <si>
    <t>Мон Ажнай</t>
  </si>
  <si>
    <t>aa_39</t>
  </si>
  <si>
    <r>
      <t>Гөлтгөнө (CaSO</t>
    </r>
    <r>
      <rPr>
        <vertAlign val="subscript"/>
        <sz val="11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 2H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0)</t>
    </r>
  </si>
  <si>
    <t>Шингэн шил (силикат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</si>
  <si>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SiO</t>
    </r>
    <r>
      <rPr>
        <vertAlign val="subscript"/>
        <sz val="11"/>
        <rFont val="Calibri"/>
        <family val="2"/>
        <scheme val="minor"/>
      </rPr>
      <t>3</t>
    </r>
    <r>
      <rPr>
        <sz val="11"/>
        <color rgb="FFF79646"/>
        <rFont val="Arial"/>
        <family val="2"/>
      </rPr>
      <t/>
    </r>
  </si>
  <si>
    <t>Монголиан бүүстер</t>
  </si>
  <si>
    <t>aa_40</t>
  </si>
  <si>
    <t>Давс (NaCl)</t>
  </si>
  <si>
    <t>Метал</t>
  </si>
  <si>
    <t>метал бус</t>
  </si>
  <si>
    <t>Монголиан Прокюремент Эйжент</t>
  </si>
  <si>
    <t>aa_41</t>
  </si>
  <si>
    <r>
      <t>Натрийн сульфид (Na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S)</t>
    </r>
  </si>
  <si>
    <t>Алт (Үндсэн)</t>
  </si>
  <si>
    <t>a_1</t>
  </si>
  <si>
    <t>Агальматолит (Баргилт)</t>
  </si>
  <si>
    <t>b_1</t>
  </si>
  <si>
    <t>Алт (Гулдмай)</t>
  </si>
  <si>
    <t>Мөнгө (Гулдмай)</t>
  </si>
  <si>
    <t>Монголросцветмет</t>
  </si>
  <si>
    <t>aa_42</t>
  </si>
  <si>
    <t>Керосин</t>
  </si>
  <si>
    <t>Алт (Шороон)</t>
  </si>
  <si>
    <t>a_2</t>
  </si>
  <si>
    <t>Бал чулуу</t>
  </si>
  <si>
    <t>b_2</t>
  </si>
  <si>
    <t>Монголчехославак    металл</t>
  </si>
  <si>
    <t>aa_43</t>
  </si>
  <si>
    <r>
      <t>Фосфорит (P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O</t>
    </r>
    <r>
      <rPr>
        <vertAlign val="subscript"/>
        <sz val="11"/>
        <color theme="1"/>
        <rFont val="Calibri"/>
        <family val="2"/>
      </rPr>
      <t>5</t>
    </r>
    <r>
      <rPr>
        <sz val="11"/>
        <color theme="1"/>
        <rFont val="Calibri"/>
        <family val="2"/>
      </rPr>
      <t>)</t>
    </r>
  </si>
  <si>
    <t>Фосфор (P)</t>
  </si>
  <si>
    <t>Алт (Үүсмэл)</t>
  </si>
  <si>
    <t>a_3</t>
  </si>
  <si>
    <t>Бар/м (Алевролит)</t>
  </si>
  <si>
    <t>b_3</t>
  </si>
  <si>
    <t>Монмаг</t>
  </si>
  <si>
    <t>aa_44</t>
  </si>
  <si>
    <r>
      <t>Хайлуур жонш (CaF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</si>
  <si>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Газрын ховор элемент</t>
  </si>
  <si>
    <t>a_4</t>
  </si>
  <si>
    <t>Бар/м (Битумжсэн элсэн чулуу)</t>
  </si>
  <si>
    <t>b_4</t>
  </si>
  <si>
    <t>ГХЭ-ийн баяжмал</t>
  </si>
  <si>
    <t>Монтай Эрдэнэ</t>
  </si>
  <si>
    <t>aa_45</t>
  </si>
  <si>
    <t>Гянтболд (Үндсэн)</t>
  </si>
  <si>
    <t>a_5</t>
  </si>
  <si>
    <t>Бар/м (Галт уулын шаарга)</t>
  </si>
  <si>
    <t>b_5</t>
  </si>
  <si>
    <t>Гянтболдын баяжмал</t>
  </si>
  <si>
    <t>Мөнхийн хаяа</t>
  </si>
  <si>
    <t>Гянтболд (Шороон)</t>
  </si>
  <si>
    <t>a_6</t>
  </si>
  <si>
    <t>Бар/м (Гантиг)</t>
  </si>
  <si>
    <t>b_6</t>
  </si>
  <si>
    <t>Мөнхтэтгэгч хүч</t>
  </si>
  <si>
    <t>Нарсны тос</t>
  </si>
  <si>
    <t>Зэс</t>
  </si>
  <si>
    <t>a_7</t>
  </si>
  <si>
    <t>Бар/м (Дайрга)</t>
  </si>
  <si>
    <t>b_7</t>
  </si>
  <si>
    <t>Зэсийн баяжмал</t>
  </si>
  <si>
    <t>МТ Энержи</t>
  </si>
  <si>
    <t>Лити</t>
  </si>
  <si>
    <t>a_8</t>
  </si>
  <si>
    <t>Бар/м (Доломит)</t>
  </si>
  <si>
    <t>b_8</t>
  </si>
  <si>
    <t>Литигийн баяжмал</t>
  </si>
  <si>
    <t>Нитро Сибирь-Монголиа</t>
  </si>
  <si>
    <t>Магни</t>
  </si>
  <si>
    <t>a_9</t>
  </si>
  <si>
    <t>Бар/м (Ногоон хаш)</t>
  </si>
  <si>
    <t>b_9</t>
  </si>
  <si>
    <t>Магнийн баяжмал</t>
  </si>
  <si>
    <t>Номхон Бадралт</t>
  </si>
  <si>
    <t>Манган</t>
  </si>
  <si>
    <t>a_10</t>
  </si>
  <si>
    <t>Бар/м (Шавар)</t>
  </si>
  <si>
    <t>b_10</t>
  </si>
  <si>
    <t>Манганы баяжмал</t>
  </si>
  <si>
    <t>Манганы хүдэр</t>
  </si>
  <si>
    <t>Орика Монголиа</t>
  </si>
  <si>
    <t>Молибден</t>
  </si>
  <si>
    <t>a_11</t>
  </si>
  <si>
    <t>Бар/м (Шохойн чулуу)</t>
  </si>
  <si>
    <t>b_11</t>
  </si>
  <si>
    <t>Молибдений баяжмал</t>
  </si>
  <si>
    <t>Молибдений исэл</t>
  </si>
  <si>
    <t>Улайсгасан рени</t>
  </si>
  <si>
    <t>Очир Ундраа</t>
  </si>
  <si>
    <t>Мөнгө</t>
  </si>
  <si>
    <t>a_12</t>
  </si>
  <si>
    <t>Бар/м (Цемент)</t>
  </si>
  <si>
    <t>b_12</t>
  </si>
  <si>
    <t>Мөнгөний баяжмал</t>
  </si>
  <si>
    <t>Оюу толгой</t>
  </si>
  <si>
    <t>Төмөр</t>
  </si>
  <si>
    <t>a_13</t>
  </si>
  <si>
    <t>Бар/м (Элс)</t>
  </si>
  <si>
    <t>b_13</t>
  </si>
  <si>
    <t>Төмрийн бүхэллэг баяжмал</t>
  </si>
  <si>
    <t>Төмрийн нунтаг баяжмал</t>
  </si>
  <si>
    <t>Төмрийн бүхэллэг хүдэр</t>
  </si>
  <si>
    <t>Төмрийн нунтаг хүдэр</t>
  </si>
  <si>
    <t>Бөөнцөг (аргалж, хорголж)</t>
  </si>
  <si>
    <t>Шууд ангижруулсан төмөр DRI</t>
  </si>
  <si>
    <t>Полиакриалмид</t>
  </si>
  <si>
    <t>Пауэр бласт</t>
  </si>
  <si>
    <t>Уран</t>
  </si>
  <si>
    <t>a_14</t>
  </si>
  <si>
    <t>Бар/м (Элс, хайрга)</t>
  </si>
  <si>
    <t>b_14</t>
  </si>
  <si>
    <t>Шар нунтаг</t>
  </si>
  <si>
    <t>Сульфигидриль ацетат натри</t>
  </si>
  <si>
    <t>Персиммон</t>
  </si>
  <si>
    <t>Усан биндэрьяа</t>
  </si>
  <si>
    <t>a_15</t>
  </si>
  <si>
    <t>Бар/м (Элсэн чулуу)</t>
  </si>
  <si>
    <t>b_15</t>
  </si>
  <si>
    <t>Нүүрс</t>
  </si>
  <si>
    <t>Петро Матад</t>
  </si>
  <si>
    <t xml:space="preserve">Холимог металл </t>
  </si>
  <si>
    <t>a_16</t>
  </si>
  <si>
    <t>Битум</t>
  </si>
  <si>
    <t>b_16</t>
  </si>
  <si>
    <t>Молибден баяжмал</t>
  </si>
  <si>
    <t>Хар тугалганы баяжмал</t>
  </si>
  <si>
    <t>Цайрын баяжмал</t>
  </si>
  <si>
    <t>Пийк оптим</t>
  </si>
  <si>
    <t>Цагаантугалга (Шороон)</t>
  </si>
  <si>
    <t>a_17</t>
  </si>
  <si>
    <t>Болор</t>
  </si>
  <si>
    <t>b_17</t>
  </si>
  <si>
    <t>Цагаан тугалганы баяжмал</t>
  </si>
  <si>
    <t>Пироп Эрдэнэ</t>
  </si>
  <si>
    <t>Цагаантугалга-Гянтболд (Шороон)</t>
  </si>
  <si>
    <t>a_18</t>
  </si>
  <si>
    <t>Боржин</t>
  </si>
  <si>
    <t>b_18</t>
  </si>
  <si>
    <t>Протек</t>
  </si>
  <si>
    <t>Цагаантугалга-Гянтболд (Үүсмэл)</t>
  </si>
  <si>
    <t>a_19</t>
  </si>
  <si>
    <t>Гөлтгөнө</t>
  </si>
  <si>
    <t>b_19</t>
  </si>
  <si>
    <t>Редуктор</t>
  </si>
  <si>
    <t>Цайр</t>
  </si>
  <si>
    <t>a_20</t>
  </si>
  <si>
    <t>Давс</t>
  </si>
  <si>
    <t>b_20</t>
  </si>
  <si>
    <t>Рео</t>
  </si>
  <si>
    <t>a_21</t>
  </si>
  <si>
    <t>Мөсөн шүү</t>
  </si>
  <si>
    <t>b_21</t>
  </si>
  <si>
    <t>Санваллей</t>
  </si>
  <si>
    <t>a_22</t>
  </si>
  <si>
    <t>Перлит</t>
  </si>
  <si>
    <t>b_22</t>
  </si>
  <si>
    <t>Бал чулууны баяжмал</t>
  </si>
  <si>
    <t>Сансар сүлжээ</t>
  </si>
  <si>
    <t>a_23</t>
  </si>
  <si>
    <t>Фосфорит</t>
  </si>
  <si>
    <t>b_23</t>
  </si>
  <si>
    <t>Алевролит</t>
  </si>
  <si>
    <t>мян.м3</t>
  </si>
  <si>
    <t>Си Эм Би</t>
  </si>
  <si>
    <t>a_24</t>
  </si>
  <si>
    <t>Хайлуур жонш</t>
  </si>
  <si>
    <t>b_24</t>
  </si>
  <si>
    <t>Дайрга 0-5</t>
  </si>
  <si>
    <t>Дайрга 5-10</t>
  </si>
  <si>
    <t>Спейшл майнинг сервис</t>
  </si>
  <si>
    <t>a_25</t>
  </si>
  <si>
    <t>Цеолит</t>
  </si>
  <si>
    <t>b_25</t>
  </si>
  <si>
    <t>Хүрмэн чулуу</t>
  </si>
  <si>
    <t>СС Монголиа</t>
  </si>
  <si>
    <t>a_26</t>
  </si>
  <si>
    <t>Гантиг</t>
  </si>
  <si>
    <t>Талст бластинг консалтинг</t>
  </si>
  <si>
    <t>a_27</t>
  </si>
  <si>
    <t>Ти Эм Би Эн</t>
  </si>
  <si>
    <t>a_28</t>
  </si>
  <si>
    <t>Эрдэс нунтаг</t>
  </si>
  <si>
    <t>Топазия</t>
  </si>
  <si>
    <t>a_29</t>
  </si>
  <si>
    <t>Ногоон хаш</t>
  </si>
  <si>
    <t>Тэн хун</t>
  </si>
  <si>
    <t>a_30</t>
  </si>
  <si>
    <t>Шавар</t>
  </si>
  <si>
    <t>Тоосго</t>
  </si>
  <si>
    <t>мян.м3    /    мян.ш</t>
  </si>
  <si>
    <t>Тэнүүн Байгаль</t>
  </si>
  <si>
    <t>a_31</t>
  </si>
  <si>
    <t>Шохойн чулуу</t>
  </si>
  <si>
    <t>Тэслабраз</t>
  </si>
  <si>
    <t>a_32</t>
  </si>
  <si>
    <t>Улаанбаатар төмөр замын чулуун завод</t>
  </si>
  <si>
    <t>a_33</t>
  </si>
  <si>
    <t>Элс</t>
  </si>
  <si>
    <t>Үнэн Анд</t>
  </si>
  <si>
    <t>a_34</t>
  </si>
  <si>
    <t>Хайрга 0-5</t>
  </si>
  <si>
    <t>Хайрга 5-10</t>
  </si>
  <si>
    <t>Фокус Металл Майнинг</t>
  </si>
  <si>
    <t>a_35</t>
  </si>
  <si>
    <t>Фоор Бласт</t>
  </si>
  <si>
    <t>a_36</t>
  </si>
  <si>
    <t>Хануй ач</t>
  </si>
  <si>
    <t>a_37</t>
  </si>
  <si>
    <t>Хар тарвагатай</t>
  </si>
  <si>
    <t>a_38</t>
  </si>
  <si>
    <t>Хотгор</t>
  </si>
  <si>
    <t>a_39</t>
  </si>
  <si>
    <t>Хөтөлийн цемент шохой</t>
  </si>
  <si>
    <t>a_40</t>
  </si>
  <si>
    <t>Хөх жонш</t>
  </si>
  <si>
    <t>a_41</t>
  </si>
  <si>
    <t>Хунт өгөөж</t>
  </si>
  <si>
    <t>a_42</t>
  </si>
  <si>
    <t>Хэт</t>
  </si>
  <si>
    <t>a_43</t>
  </si>
  <si>
    <t>Фосфорын баяжмал</t>
  </si>
  <si>
    <t>Цагаан Ташаа</t>
  </si>
  <si>
    <t>a_44</t>
  </si>
  <si>
    <t>Хайлуур жоншны баяжмал ФФ-97</t>
  </si>
  <si>
    <t>Хайлуур жоншны баяжмал ФФ-95</t>
  </si>
  <si>
    <t>Хайлуур жоншны хүдэр ФР</t>
  </si>
  <si>
    <t>Цайрт минерал</t>
  </si>
  <si>
    <t>a_45</t>
  </si>
  <si>
    <t>Шивээ овоо</t>
  </si>
  <si>
    <t>Шижир Аранжин</t>
  </si>
  <si>
    <t>Шинь Шинь</t>
  </si>
  <si>
    <t>Шинэ жонш</t>
  </si>
  <si>
    <t>Эвсэг Монгол</t>
  </si>
  <si>
    <t>Эм Би Икс Би</t>
  </si>
  <si>
    <t>Эм Си Ти Ти</t>
  </si>
  <si>
    <t>Эм Эл цахиурт овоо</t>
  </si>
  <si>
    <t>Эрдэнэт үйлдвэр</t>
  </si>
  <si>
    <t>Эрхэт түнш</t>
  </si>
  <si>
    <t>Эрэл</t>
  </si>
  <si>
    <t>Эс И Ди Эс</t>
  </si>
  <si>
    <t>Вольфрамит (WO3)</t>
  </si>
  <si>
    <t>Бүхэллэг жонш ФК-75</t>
  </si>
  <si>
    <t>Бүхэллэг жонш ФК-80</t>
  </si>
  <si>
    <t>Бүхэллэг жонш ФК-85</t>
  </si>
  <si>
    <t>Бүхэллэг жонш ФК-92</t>
  </si>
  <si>
    <t>Дайрга 10-20</t>
  </si>
  <si>
    <t>Дайрга 40&lt;</t>
  </si>
  <si>
    <t>Клинкер (Хагас боловсруулсан цемент)</t>
  </si>
  <si>
    <t>Хайрга 10-20</t>
  </si>
  <si>
    <t>Хайрга 20-40</t>
  </si>
  <si>
    <t>Хайрга 40&lt;</t>
  </si>
  <si>
    <t>Дайрга 20-40</t>
  </si>
  <si>
    <t>pp</t>
  </si>
  <si>
    <t>s</t>
  </si>
  <si>
    <t>2.</t>
  </si>
  <si>
    <t>3.</t>
  </si>
  <si>
    <t>кВт (kW)</t>
  </si>
  <si>
    <t>Ашигт малтмал,
газрын тосны газар</t>
  </si>
  <si>
    <t>Тусгай зөвшөөрлийн дугаар:</t>
  </si>
  <si>
    <t>Ашигт малтмалын төрөл:</t>
  </si>
  <si>
    <t>Үзүүлэлт гаргасан:</t>
  </si>
  <si>
    <t>Ерөнхий инженер</t>
  </si>
  <si>
    <t>Уртраг</t>
  </si>
  <si>
    <t>Өргөрөг</t>
  </si>
  <si>
    <t>Метрийн системээр</t>
  </si>
  <si>
    <t>Град</t>
  </si>
  <si>
    <t>Мин</t>
  </si>
  <si>
    <t>Сек</t>
  </si>
  <si>
    <t>X</t>
  </si>
  <si>
    <t>Y</t>
  </si>
  <si>
    <t>Ашиглалтын инженер</t>
  </si>
  <si>
    <t>ААН-ийн нэр</t>
  </si>
  <si>
    <t>Баяжуулалтын технологи</t>
  </si>
  <si>
    <t>Баяжуулагч инженер</t>
  </si>
  <si>
    <t>Маягт-5</t>
  </si>
  <si>
    <t>Баяжуулах хүдрийн хэмжээ</t>
  </si>
  <si>
    <t>БАЯЖУУЛАХ ҮЙЛДВЭРИЙН ХИМИЙН БОДИС БОЛОН ТУСЛАХ МАТЕРИАЛЫН ХЭРЭГЛЭЭ</t>
  </si>
  <si>
    <t>Урвалжийн нэр ***</t>
  </si>
  <si>
    <t>Химийн томьёо</t>
  </si>
  <si>
    <t>Зориулалт</t>
  </si>
  <si>
    <t>Зарцуулалт</t>
  </si>
  <si>
    <t>Нийт хэрэглээ</t>
  </si>
  <si>
    <t>Маягт-6.1</t>
  </si>
  <si>
    <t>УУРХАЙН (ҮЙЛДВЭР) ЦАХИЛГААН ХАНГАМЖ</t>
  </si>
  <si>
    <t>Цахилгааны эх үүсвэр:</t>
  </si>
  <si>
    <t>Хэрэглэгчдийн жагсаалт</t>
  </si>
  <si>
    <t>Олборлолтын (ил, далд уурхайн) суурилагдсан чадал</t>
  </si>
  <si>
    <t>Тосгоны суурилагдсан чадал</t>
  </si>
  <si>
    <t>Баяжуулах, боловсруулах үйлдвэрийн суурилагдсан чадал</t>
  </si>
  <si>
    <t>Цахилгааны хэрэглээ*</t>
  </si>
  <si>
    <t>кВт.ц/жил (kWh/year)</t>
  </si>
  <si>
    <t>Цахилгаан эрчим хүчний үнэ тариф (НӨАТ-гүй)</t>
  </si>
  <si>
    <t>төг/кВт.ц</t>
  </si>
  <si>
    <t>Цахилгаан эрчим хүчний зардал</t>
  </si>
  <si>
    <t>* Тухайн онд хэрэглэх нийт цахилгааны хэрэглээ. Тоолуурын гүйлтээр. Эрчим хүчний системд холбогдоогүй бол бөглөх шаардлагагүй.</t>
  </si>
  <si>
    <t>Маягт-6.2</t>
  </si>
  <si>
    <t>УУРХАЙН (ҮЙЛДВЭР) УС ХАНГАМЖ</t>
  </si>
  <si>
    <t>Усны сав газар:</t>
  </si>
  <si>
    <t>Эх үүсвэр</t>
  </si>
  <si>
    <t>Шоометр тутам дахь үнэ тариф</t>
  </si>
  <si>
    <t>Төлбөрийн хэмжээ (сая.төг)</t>
  </si>
  <si>
    <t>Хүн амын унд, ахуйн зориулалтаар ашигласан хэрэглээ</t>
  </si>
  <si>
    <r>
      <t>м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/жил</t>
    </r>
  </si>
  <si>
    <t>Олборлох үйлдвэрлэлийн (ил, далд уурхай) хэрэглээ</t>
  </si>
  <si>
    <t>Баяжуулах үйлдвэрийн хэрэглээ</t>
  </si>
  <si>
    <t>Эргэлтийн усны хэмжээ</t>
  </si>
  <si>
    <t>Нэмэлт усны хэмжээ</t>
  </si>
  <si>
    <t>Нийт усны хэмжээ</t>
  </si>
  <si>
    <t>Баяжуулах үйлдвэрийн эргэлтийн усны эзлэх хэмжээ</t>
  </si>
  <si>
    <t>Байгаль орчин хамгаалах, нөхөн сэргээлтэд хэрэглэх хэрэглээ</t>
  </si>
  <si>
    <t>Усыг шавхан зайлуулах</t>
  </si>
  <si>
    <t>Эрэл хайгуулын өрөмдлөг хийх</t>
  </si>
  <si>
    <t>Бусад (Авто зам, Барилга, Хүнд, хөнгөн, хүнсний үйлдвэрлэл, Эрчим хүч, Газар тариалан г.м)</t>
  </si>
  <si>
    <t>НИЙТ ХЭРЭГЛЭЭ</t>
  </si>
  <si>
    <t>Ундарга болон усны урсгалын хурд</t>
  </si>
  <si>
    <t>л/сек</t>
  </si>
  <si>
    <t>Маягт-7</t>
  </si>
  <si>
    <t>БАЯЖУУЛАХ ҮЙЛДВЭРИЙН ТОНОГ ТӨХӨӨРӨМЖИЙН ЖАГСААЛТ</t>
  </si>
  <si>
    <t>Тоног төхөөрөмжийн нэр</t>
  </si>
  <si>
    <t>Техникийн үзүүлэлт</t>
  </si>
  <si>
    <t>Тоног төхөөрөмжийн насжилт</t>
  </si>
  <si>
    <t>Хөдөлгүүрийн чадал</t>
  </si>
  <si>
    <t>Төрөл</t>
  </si>
  <si>
    <t>Ангилал</t>
  </si>
  <si>
    <t>Марк</t>
  </si>
  <si>
    <t>Үйлдвэрлэсэн улс</t>
  </si>
  <si>
    <t>Хүчин чадал</t>
  </si>
  <si>
    <t>Тоо ширхэг</t>
  </si>
  <si>
    <t>Үйлдвэрлэсэн он</t>
  </si>
  <si>
    <t>Ашиглалтад өгсөн он</t>
  </si>
  <si>
    <t>Ашиглалтын хугацаа</t>
  </si>
  <si>
    <t>Нийт чадал</t>
  </si>
  <si>
    <t>НИЙТ</t>
  </si>
  <si>
    <t>* Бусад гэсэн ангилалыг сонгосон тохиолдолд тайлбар хэсэгт ямар зориулалттай ямар төхөөрөмж болохыг тодорхой бичнэ.</t>
  </si>
  <si>
    <t>Хүчин чадал багтаамж</t>
  </si>
  <si>
    <t>Цахилгаан зарцуулалт</t>
  </si>
  <si>
    <t>Түлш зарцуулалт</t>
  </si>
  <si>
    <t>Өмчлөлийн хэлбэр</t>
  </si>
  <si>
    <t>Загвар</t>
  </si>
  <si>
    <t>Хэмжээ</t>
  </si>
  <si>
    <t>Суурилагдсан чадал 
кВт (kW)</t>
  </si>
  <si>
    <t>Зарцуулалтын тоон утга (литр)</t>
  </si>
  <si>
    <t>Нийт ажиллах гүйлт (мото/цаг)</t>
  </si>
  <si>
    <t>Нийт зарцуулах түлшний хэмжээ</t>
  </si>
  <si>
    <t xml:space="preserve"> - - -</t>
  </si>
  <si>
    <t>Маягт-9</t>
  </si>
  <si>
    <t>УУРХАЙН ӨРӨМДЛӨГ, ТЭСЭЛГЭЭНИЙ АЖИЛ</t>
  </si>
  <si>
    <t>Д/д</t>
  </si>
  <si>
    <t>Тусгай зөвшөөрлийн дугаар, огноо</t>
  </si>
  <si>
    <t>Өрөмдлөгийн ажлын хувийн зарцуулалт, м/м3</t>
  </si>
  <si>
    <t>Өрөмдлөгийн хэмжээ (мян.тууш.м)</t>
  </si>
  <si>
    <t>Тэслэгдэх уулын цулын хэмжээ мян.м³</t>
  </si>
  <si>
    <t>Тэсрэх бодисын хувийн зарцуулалт /дундаж/ кг/м3</t>
  </si>
  <si>
    <t>Агуулахын багтаамж (тн)</t>
  </si>
  <si>
    <t>Тэсэлгээ</t>
  </si>
  <si>
    <t>Тэсэлгээний туслан гүйцэтгэгч</t>
  </si>
  <si>
    <t>Хөрс</t>
  </si>
  <si>
    <t>Хүдэр</t>
  </si>
  <si>
    <t>Агуулахтай эсэх</t>
  </si>
  <si>
    <t>Агуулахын ангилал</t>
  </si>
  <si>
    <t>Тэсрэх бодис</t>
  </si>
  <si>
    <t>Тэсэлгээний хэрэгсэл</t>
  </si>
  <si>
    <t>Тэсрэх бодис, тэсэлгээний хэрэгслийн хэрэглээ</t>
  </si>
  <si>
    <t>Нэр, төрөл</t>
  </si>
  <si>
    <t>Эхний үлдэгдэл</t>
  </si>
  <si>
    <t>Орлого</t>
  </si>
  <si>
    <t>Зарлага</t>
  </si>
  <si>
    <t>Эцсийн үлдэгдэл</t>
  </si>
  <si>
    <t>Тэсэлгээчдийн бүртгэл</t>
  </si>
  <si>
    <t>Албан тушаал</t>
  </si>
  <si>
    <t>Овог, нэр</t>
  </si>
  <si>
    <t>Үнэмлэхний дугаар</t>
  </si>
  <si>
    <t>Даатгалд хамрагдсан эсэх</t>
  </si>
  <si>
    <t>Ашигт малтмал газрын тосны газар</t>
  </si>
  <si>
    <t>Маягт-10</t>
  </si>
  <si>
    <t>Уулын ажилд хамрагдах</t>
  </si>
  <si>
    <t>БАЙГАЛЬ ОРЧНЫ НӨХӨН СЭРГЭЭЛТ</t>
  </si>
  <si>
    <t>Үзүүлэлт</t>
  </si>
  <si>
    <t>Талбай</t>
  </si>
  <si>
    <t>Эзэлхүүн</t>
  </si>
  <si>
    <t>Нөхөн сэргээлтэд зарцуулсан зардлын хэмжээ</t>
  </si>
  <si>
    <t>Солбицол</t>
  </si>
  <si>
    <t>Нийт уулын ажилд хамрагдсан талбай</t>
  </si>
  <si>
    <t>га</t>
  </si>
  <si>
    <r>
      <t>м</t>
    </r>
    <r>
      <rPr>
        <vertAlign val="superscript"/>
        <sz val="9"/>
        <color theme="1"/>
        <rFont val="Arial"/>
        <family val="2"/>
      </rPr>
      <t>3</t>
    </r>
  </si>
  <si>
    <t>Урд онуудад хийгдсэн техникийн нөхөн сэргээлт</t>
  </si>
  <si>
    <r>
      <t>м</t>
    </r>
    <r>
      <rPr>
        <vertAlign val="superscript"/>
        <sz val="8"/>
        <color theme="1"/>
        <rFont val="Arial"/>
        <family val="2"/>
      </rPr>
      <t>3</t>
    </r>
  </si>
  <si>
    <t>Урд онуудад хийгдсэн биологоийн нөхөн сэргээлт</t>
  </si>
  <si>
    <t>Тус онд уулын ажилд хамрагдсан талбай</t>
  </si>
  <si>
    <t>Техникийн нөхөн сэргээлт хийсэн талбай</t>
  </si>
  <si>
    <t>Техникийн нөхөн сэргээлт- гадаад овоолго</t>
  </si>
  <si>
    <t>Техникийн нөхөн сэргээлт- дотоод овоолго</t>
  </si>
  <si>
    <t xml:space="preserve">Биологийн нөхөн сэргээлт </t>
  </si>
  <si>
    <t xml:space="preserve">Шимт хөрсний Биологийн нөхөн сэргээлт </t>
  </si>
  <si>
    <t>Дүйцүүлэн хамгаалах нөхөн сэргээлт</t>
  </si>
  <si>
    <t>Уурхайг тохижуулах, тосгон орчим хийгдэх нөхөн сэргээлт</t>
  </si>
  <si>
    <t>Нийт нөхөн сэргээсэн талбай</t>
  </si>
  <si>
    <t>Маягт-11</t>
  </si>
  <si>
    <t>БАЙГАЛЬ ОРЧИНД НӨЛӨӨЛӨХ НӨЛӨӨЛЛИЙГ СУДЛАХ, ХАМГААЛАХ</t>
  </si>
  <si>
    <t>Уурхайн нөлөөлөлд өртөх талбайн хамрах хүрээ</t>
  </si>
  <si>
    <t>Нөлөөллөөс урьдчилан сэргийлэх, бууруулах арга хэмжээ</t>
  </si>
  <si>
    <t>Хийгдсэн ажил</t>
  </si>
  <si>
    <t>Зардал</t>
  </si>
  <si>
    <r>
      <t>м</t>
    </r>
    <r>
      <rPr>
        <vertAlign val="superscript"/>
        <sz val="11"/>
        <color theme="1"/>
        <rFont val="Arial"/>
        <family val="2"/>
      </rPr>
      <t>2</t>
    </r>
  </si>
  <si>
    <t>Ус</t>
  </si>
  <si>
    <t>Агаар</t>
  </si>
  <si>
    <t>Ургамал / Амьтан</t>
  </si>
  <si>
    <t>Түүх соёлын дурсгалт газар</t>
  </si>
  <si>
    <t>Оршин суугчид</t>
  </si>
  <si>
    <t>Уурхайн байгаль орчны удирдлага зохион байгуулалт</t>
  </si>
  <si>
    <t>Маягт-12</t>
  </si>
  <si>
    <t>ХӨДӨЛМӨРИЙН АЮУЛГҮЙ БАЙДАЛ, ЭРҮҮЛ АХУЙ</t>
  </si>
  <si>
    <t>Үндсэн компани</t>
  </si>
  <si>
    <t>Туслан гүйцэтгэгч</t>
  </si>
  <si>
    <t>Нийт ажиллагсад</t>
  </si>
  <si>
    <t>ширхэг</t>
  </si>
  <si>
    <t>Үндсэн</t>
  </si>
  <si>
    <t>Гэрээт</t>
  </si>
  <si>
    <t>ИТА</t>
  </si>
  <si>
    <t>Оператор</t>
  </si>
  <si>
    <t>Туслах</t>
  </si>
  <si>
    <t>Орон нутгийн ажиллагсад</t>
  </si>
  <si>
    <t>Насны ангиллаар 18-25</t>
  </si>
  <si>
    <t>Насны ангиллаар 26-40</t>
  </si>
  <si>
    <t>Насны ангиллаар 40-60</t>
  </si>
  <si>
    <t>Насны ангиллаар 60-аас 
дээш</t>
  </si>
  <si>
    <t>Хөгжлийн бэрхшээлтэй</t>
  </si>
  <si>
    <t>Гадаад</t>
  </si>
  <si>
    <t>Эмэгтэй</t>
  </si>
  <si>
    <t xml:space="preserve">Нийт цалин </t>
  </si>
  <si>
    <t>сая төг/жил</t>
  </si>
  <si>
    <t>Сарын дундаж цалин-ИТА</t>
  </si>
  <si>
    <t>сая төг/ 1хүн</t>
  </si>
  <si>
    <t>Сарын дундаж цалин-оператор</t>
  </si>
  <si>
    <t>Сарын дундаж цалин-туслах</t>
  </si>
  <si>
    <t>Сарын дундаж цалин-бусад</t>
  </si>
  <si>
    <t>Сарын дундаж цалин-гадаад</t>
  </si>
  <si>
    <t>ХАБ-ын асуудал хариуцсан</t>
  </si>
  <si>
    <t>Ажилтан</t>
  </si>
  <si>
    <t>ХАБ-ын  сургалт</t>
  </si>
  <si>
    <t>Байгууллага(өөрийн)</t>
  </si>
  <si>
    <t>Дотоод</t>
  </si>
  <si>
    <t>ХАБ-ын  сургалтад хамрагсдын тоо</t>
  </si>
  <si>
    <t>Ажлын байрны нөхцөл</t>
  </si>
  <si>
    <t>Хэвийн</t>
  </si>
  <si>
    <t>Хэвийн бус-хортой</t>
  </si>
  <si>
    <t>Хэвийн бус-хүнд</t>
  </si>
  <si>
    <t>Хэвийн бус-халуун</t>
  </si>
  <si>
    <t>Хэвийн бус-газар дор</t>
  </si>
  <si>
    <t>Хэвийн бус-бусад</t>
  </si>
  <si>
    <t>Эрүүл мэндийн үзлэгт 
хамрагсдын тоо</t>
  </si>
  <si>
    <t>Ажлын тусгай хувцас хамгаалах хэрэгсэл</t>
  </si>
  <si>
    <t>тусгай хувцас</t>
  </si>
  <si>
    <t>хамгаалах хэрэгсэл</t>
  </si>
  <si>
    <t>ХАБ-ын нийт зардал</t>
  </si>
  <si>
    <t>сая төгрөг</t>
  </si>
  <si>
    <t>Сургалт</t>
  </si>
  <si>
    <t>Эрүүл мэндийн үзлэг</t>
  </si>
  <si>
    <t>Эрүүл ахуйн нөхцөл сайжруулах</t>
  </si>
  <si>
    <t xml:space="preserve">хэвийн бус нөхцөлд 
ажиллагсдад </t>
  </si>
  <si>
    <t>ажлын тусгай хувцас 
хамгаалах хэрэгсэл</t>
  </si>
  <si>
    <t>самбар, тэмдэг тэмдэглэгээ</t>
  </si>
  <si>
    <t>орон нутгийн иргэдийн 
аюулгүй байдлыг хангах</t>
  </si>
  <si>
    <t>ХАБЭА-ыг хангахтай 
холбоотой бусад</t>
  </si>
  <si>
    <t>Маягт-13</t>
  </si>
  <si>
    <t>ОСОЛ, МЭРГЭЖЛЭЭС ШАЛТГААЛАХ ӨВЧНИЙ МЭДЭЭЛЭЛ</t>
  </si>
  <si>
    <t xml:space="preserve">Тоон утга </t>
  </si>
  <si>
    <t>Осол</t>
  </si>
  <si>
    <t>тоо</t>
  </si>
  <si>
    <t>Бүлэг</t>
  </si>
  <si>
    <t>Ослын хэлбэр/төрөл/</t>
  </si>
  <si>
    <t>Хөнгөн</t>
  </si>
  <si>
    <t>Хүнд</t>
  </si>
  <si>
    <t>Осолд өртөгсдийн ослын зэрэг</t>
  </si>
  <si>
    <t>Хөнгөн зэрэг</t>
  </si>
  <si>
    <t>Хүндэвтэр зэрэг</t>
  </si>
  <si>
    <t>Хүнд зэрэг</t>
  </si>
  <si>
    <t>Нас барсан</t>
  </si>
  <si>
    <t>Осолд өртөгчийн  насны ангилал</t>
  </si>
  <si>
    <t>18 хүртэл</t>
  </si>
  <si>
    <t>18-35</t>
  </si>
  <si>
    <t>35- дээш</t>
  </si>
  <si>
    <t>Осолд өртөгчийн ажилласан жил</t>
  </si>
  <si>
    <t>5 хүртэл</t>
  </si>
  <si>
    <t>5-15 жил</t>
  </si>
  <si>
    <t>15- дээш</t>
  </si>
  <si>
    <t>Осолд өртөгчийн албан тушаал</t>
  </si>
  <si>
    <t>Инженер техникийн ажилтан</t>
  </si>
  <si>
    <t>Мэргэжлээс шалтгаалах өвчлөгсөд</t>
  </si>
  <si>
    <t>Өвчтэй</t>
  </si>
  <si>
    <t>Шинээр оношлогдсон</t>
  </si>
  <si>
    <t>Ослын үед авсан арга хэмжээнд</t>
  </si>
  <si>
    <t>Осолд өртөгдсөн хүнд</t>
  </si>
  <si>
    <t>МШӨ-өөр өвчлөгчдөд</t>
  </si>
  <si>
    <t>Осол гарсан хугацаа, шалтгаан, авсан арга хэмжээний талаарх мэдээг тодорхой бичих</t>
  </si>
  <si>
    <t>Мэргэжилтэн</t>
  </si>
  <si>
    <t>Нягтлан бодогч:</t>
  </si>
  <si>
    <t xml:space="preserve">     Ашигт малтмал газрын тосны газар</t>
  </si>
  <si>
    <t>Маягт-17</t>
  </si>
  <si>
    <t>ДҮРМИЙН САН</t>
  </si>
  <si>
    <t>Эзэмшигч</t>
  </si>
  <si>
    <t>Төрийн өмч</t>
  </si>
  <si>
    <t>Дотоодын хувь эзэмшигч</t>
  </si>
  <si>
    <t>Гадаадын хувь эзэмшигч</t>
  </si>
  <si>
    <r>
      <t>ЖИЧ:</t>
    </r>
    <r>
      <rPr>
        <sz val="9"/>
        <color theme="1"/>
        <rFont val="Arial"/>
        <family val="2"/>
      </rPr>
      <t xml:space="preserve">  Тухайн оны нөөцийг ашиглалтын тусгай зөвшөөрөл бүрээр гаргаж ирүүлнэ.</t>
    </r>
  </si>
  <si>
    <t>`</t>
  </si>
  <si>
    <t>Антрацит</t>
  </si>
  <si>
    <t>Шатдаг занар</t>
  </si>
  <si>
    <t>z_1</t>
  </si>
  <si>
    <t>z_2</t>
  </si>
  <si>
    <t>z_3</t>
  </si>
  <si>
    <t>z_4</t>
  </si>
  <si>
    <t xml:space="preserve"> Ашигт малтмалын төрөл</t>
  </si>
  <si>
    <t>Хүрэн</t>
  </si>
  <si>
    <t>Чулуун</t>
  </si>
  <si>
    <t>Эрчим хүчний</t>
  </si>
  <si>
    <t>Шахмал түлш</t>
  </si>
  <si>
    <t>Коксжих /түүхий/</t>
  </si>
  <si>
    <t>Коксжих /баяжуулсан/</t>
  </si>
  <si>
    <t>ДЦС-уудад </t>
  </si>
  <si>
    <t>ҮААГ, айл өрх </t>
  </si>
  <si>
    <t>БНХАУ </t>
  </si>
  <si>
    <t>Коксжих /сул/</t>
  </si>
  <si>
    <t>Антрацит/хагас/</t>
  </si>
  <si>
    <t>Нийт дотоод</t>
  </si>
  <si>
    <t>Нийт гадаад</t>
  </si>
  <si>
    <t>Нийт Төрийн өмч</t>
  </si>
  <si>
    <t>Нийт хувийн өмч</t>
  </si>
  <si>
    <t>УУРХАЙН ОЛБОРЛОЛТЫН ТОНОГ ТӨХӨӨРӨМЖИЙН ЖАГСААЛТ</t>
  </si>
  <si>
    <t>Нэгж бүтээгдэхүүний өөрийн өртөг /нэмэгддэг байдлаар/</t>
  </si>
  <si>
    <t>MINTYPE</t>
  </si>
  <si>
    <t>LICENCENUM</t>
  </si>
  <si>
    <t>REPORTYEAR</t>
  </si>
  <si>
    <t>GEOLOGYST</t>
  </si>
  <si>
    <t xml:space="preserve"> Тайлангийн он:</t>
  </si>
  <si>
    <t>ENGINEERING1</t>
  </si>
  <si>
    <t>LPNAME</t>
  </si>
  <si>
    <t>BTECHNOLOGY</t>
  </si>
  <si>
    <t>ENGINEERING2</t>
  </si>
  <si>
    <t>ENGINEERING3</t>
  </si>
  <si>
    <t>MANAGER</t>
  </si>
  <si>
    <t>ECONOMYST</t>
  </si>
  <si>
    <t>ACCOUNTANT</t>
  </si>
  <si>
    <t xml:space="preserve">   Маягт- 3</t>
  </si>
  <si>
    <t>Коксжих</t>
  </si>
  <si>
    <t>Хагас Коксжих</t>
  </si>
  <si>
    <t>Маягт-8</t>
  </si>
  <si>
    <t>Маягт-14</t>
  </si>
  <si>
    <t>Маягт-18</t>
  </si>
  <si>
    <t>Маягт-19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</si>
</sst>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###0;###0"/>
    <numFmt numFmtId="165" formatCode="###0.0;###0.0"/>
    <numFmt numFmtId="166" formatCode="###0.00;###0.00"/>
    <numFmt numFmtId="167" formatCode="_(* #,##0_);_(* \(#,##0\);_(* &quot;-&quot;??_);_(@_)"/>
  </numFmts>
  <fonts count="10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Times New Roman"/>
      <family val="1"/>
    </font>
    <font>
      <sz val="8"/>
      <color rgb="FF000000"/>
      <name val="Arial"/>
      <family val="2"/>
    </font>
    <font>
      <sz val="8"/>
      <color rgb="FF050505"/>
      <name val="Arial"/>
      <family val="2"/>
    </font>
    <font>
      <b/>
      <sz val="8"/>
      <color rgb="FF050505"/>
      <name val="Arial"/>
      <family val="2"/>
    </font>
    <font>
      <b/>
      <sz val="8"/>
      <color rgb="FF000000"/>
      <name val="Arial"/>
      <family val="2"/>
    </font>
    <font>
      <sz val="8"/>
      <color rgb="FF181818"/>
      <name val="Arial"/>
      <family val="2"/>
    </font>
    <font>
      <sz val="8"/>
      <color rgb="FF2A2A2A"/>
      <name val="Arial"/>
      <family val="2"/>
    </font>
    <font>
      <sz val="10"/>
      <color rgb="FF333333"/>
      <name val="Arial"/>
      <family val="2"/>
    </font>
    <font>
      <i/>
      <sz val="8"/>
      <color rgb="FF1F4F6E"/>
      <name val="Arial"/>
      <family val="2"/>
    </font>
    <font>
      <sz val="8"/>
      <color rgb="FF030303"/>
      <name val="Arial"/>
      <family val="2"/>
    </font>
    <font>
      <b/>
      <sz val="8"/>
      <color rgb="FF030303"/>
      <name val="Arial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1"/>
      <name val="Arial"/>
      <family val="2"/>
    </font>
    <font>
      <sz val="9"/>
      <color theme="1"/>
      <name val="Arial"/>
      <family val="2"/>
    </font>
    <font>
      <sz val="8"/>
      <color rgb="FFFF0000"/>
      <name val="Arial"/>
      <family val="2"/>
    </font>
    <font>
      <b/>
      <sz val="8"/>
      <color theme="1"/>
      <name val="Arial"/>
      <family val="2"/>
    </font>
    <font>
      <sz val="10"/>
      <color theme="1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i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sz val="10"/>
      <name val="Arial"/>
      <family val="2"/>
    </font>
    <font>
      <vertAlign val="subscript"/>
      <sz val="9"/>
      <color theme="1"/>
      <name val="Arial"/>
      <family val="2"/>
    </font>
    <font>
      <sz val="9"/>
      <name val="Arial"/>
      <family val="2"/>
    </font>
    <font>
      <b/>
      <sz val="16"/>
      <color rgb="FF050505"/>
      <name val="Arial"/>
      <family val="2"/>
    </font>
    <font>
      <b/>
      <sz val="10"/>
      <color rgb="FF000000"/>
      <name val="Arial"/>
      <family val="2"/>
    </font>
    <font>
      <sz val="9"/>
      <color rgb="FF030303"/>
      <name val="Arial"/>
      <family val="2"/>
    </font>
    <font>
      <sz val="9"/>
      <color rgb="FF050505"/>
      <name val="Arial"/>
      <family val="2"/>
    </font>
    <font>
      <sz val="9"/>
      <color rgb="FF000000"/>
      <name val="Arial"/>
      <family val="2"/>
    </font>
    <font>
      <i/>
      <sz val="9"/>
      <color rgb="FF030303"/>
      <name val="Arial"/>
      <family val="2"/>
    </font>
    <font>
      <b/>
      <i/>
      <sz val="9"/>
      <color rgb="FF030303"/>
      <name val="Arial"/>
      <family val="2"/>
    </font>
    <font>
      <b/>
      <sz val="9"/>
      <color rgb="FF030303"/>
      <name val="Arial"/>
      <family val="2"/>
    </font>
    <font>
      <sz val="9"/>
      <color rgb="FF18181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Arial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0"/>
      <color theme="1"/>
      <name val="Arial"/>
      <family val="2"/>
    </font>
    <font>
      <sz val="11"/>
      <color rgb="FFF79646"/>
      <name val="Arial"/>
      <family val="2"/>
    </font>
    <font>
      <vertAlign val="subscript"/>
      <sz val="10"/>
      <color rgb="FF000000"/>
      <name val="Arial"/>
      <family val="2"/>
    </font>
    <font>
      <sz val="9"/>
      <name val="Calibri"/>
      <family val="2"/>
      <scheme val="minor"/>
    </font>
    <font>
      <vertAlign val="superscript"/>
      <sz val="1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8"/>
      <color theme="0"/>
      <name val="Arial"/>
      <family val="2"/>
    </font>
    <font>
      <sz val="11"/>
      <color theme="9" tint="0.79998168889431442"/>
      <name val="Arial"/>
      <family val="2"/>
    </font>
    <font>
      <sz val="11"/>
      <color theme="0"/>
      <name val="Arial"/>
      <family val="2"/>
    </font>
    <font>
      <sz val="10"/>
      <color theme="9" tint="0.79998168889431442"/>
      <name val="Arial"/>
      <family val="2"/>
    </font>
    <font>
      <sz val="10"/>
      <color theme="0"/>
      <name val="Arial"/>
      <family val="2"/>
    </font>
    <font>
      <sz val="10"/>
      <color rgb="FF181818"/>
      <name val="Arial"/>
      <family val="2"/>
    </font>
    <font>
      <b/>
      <sz val="11"/>
      <color rgb="FF181818"/>
      <name val="Arial"/>
      <family val="2"/>
    </font>
    <font>
      <b/>
      <sz val="11"/>
      <color rgb="FF000000"/>
      <name val="Arial"/>
      <family val="2"/>
    </font>
    <font>
      <sz val="11"/>
      <color rgb="FF181818"/>
      <name val="Arial"/>
      <family val="2"/>
    </font>
    <font>
      <sz val="11"/>
      <color rgb="FF000000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sz val="11"/>
      <color theme="9" tint="0.79998168889431442"/>
      <name val="Calibri"/>
      <family val="2"/>
      <scheme val="minor"/>
    </font>
    <font>
      <sz val="11"/>
      <color rgb="FFFF0000"/>
      <name val="Arial"/>
      <family val="2"/>
    </font>
    <font>
      <sz val="11"/>
      <color rgb="FF212121"/>
      <name val="Arial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Arial"/>
      <family val="2"/>
    </font>
    <font>
      <sz val="8"/>
      <name val="Arial"/>
      <family val="2"/>
    </font>
    <font>
      <vertAlign val="superscript"/>
      <sz val="8"/>
      <color theme="1"/>
      <name val="Arial"/>
      <family val="2"/>
    </font>
    <font>
      <b/>
      <i/>
      <sz val="11"/>
      <color theme="1"/>
      <name val="Arial"/>
      <family val="2"/>
    </font>
    <font>
      <b/>
      <sz val="14"/>
      <color rgb="FF050505"/>
      <name val="Arial"/>
      <family val="2"/>
    </font>
    <font>
      <b/>
      <sz val="8"/>
      <color rgb="FF181818"/>
      <name val="Arial"/>
      <family val="2"/>
    </font>
    <font>
      <sz val="9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name val="Arial"/>
      <family val="2"/>
    </font>
    <font>
      <sz val="11"/>
      <color rgb="FFFF0000"/>
      <name val="Calibri"/>
      <family val="2"/>
      <scheme val="minor"/>
    </font>
    <font>
      <sz val="11"/>
      <color rgb="FF050505"/>
      <name val="Arial"/>
      <family val="2"/>
    </font>
    <font>
      <b/>
      <sz val="11"/>
      <color rgb="FF050505"/>
      <name val="Arial"/>
      <family val="2"/>
    </font>
    <font>
      <sz val="11"/>
      <color rgb="FF030303"/>
      <name val="Arial"/>
      <family val="2"/>
    </font>
    <font>
      <sz val="9"/>
      <color theme="0" tint="-0.249977111117893"/>
      <name val="Arial"/>
      <family val="2"/>
    </font>
    <font>
      <sz val="12"/>
      <color theme="0"/>
      <name val="Calibri"/>
      <family val="2"/>
      <scheme val="minor"/>
    </font>
    <font>
      <sz val="10"/>
      <color theme="0"/>
      <name val="Times New Roman"/>
      <family val="1"/>
    </font>
    <font>
      <b/>
      <i/>
      <sz val="12"/>
      <color theme="1"/>
      <name val="Arial"/>
      <family val="2"/>
    </font>
    <font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0">
    <xf numFmtId="0" fontId="0" fillId="0" borderId="0"/>
    <xf numFmtId="0" fontId="5" fillId="0" borderId="0"/>
    <xf numFmtId="0" fontId="9" fillId="0" borderId="0"/>
    <xf numFmtId="43" fontId="9" fillId="0" borderId="0" applyFont="0" applyFill="0" applyBorder="0" applyAlignment="0" applyProtection="0"/>
    <xf numFmtId="0" fontId="20" fillId="0" borderId="0"/>
    <xf numFmtId="43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63" fillId="0" borderId="0"/>
    <xf numFmtId="0" fontId="1" fillId="0" borderId="0"/>
    <xf numFmtId="0" fontId="9" fillId="0" borderId="0"/>
  </cellStyleXfs>
  <cellXfs count="1100">
    <xf numFmtId="0" fontId="0" fillId="0" borderId="0" xfId="0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0" fillId="2" borderId="0" xfId="2" applyFont="1" applyFill="1" applyBorder="1" applyAlignment="1">
      <alignment horizontal="left" vertical="center"/>
    </xf>
    <xf numFmtId="0" fontId="10" fillId="2" borderId="0" xfId="2" applyFont="1" applyFill="1" applyBorder="1" applyAlignment="1">
      <alignment horizontal="center" vertical="center"/>
    </xf>
    <xf numFmtId="0" fontId="10" fillId="3" borderId="0" xfId="2" applyFont="1" applyFill="1" applyBorder="1" applyAlignment="1">
      <alignment horizontal="left" vertical="center"/>
    </xf>
    <xf numFmtId="0" fontId="11" fillId="2" borderId="0" xfId="2" applyFont="1" applyFill="1" applyBorder="1" applyAlignment="1">
      <alignment horizontal="left" vertical="center"/>
    </xf>
    <xf numFmtId="0" fontId="11" fillId="2" borderId="1" xfId="2" applyFont="1" applyFill="1" applyBorder="1" applyAlignment="1">
      <alignment horizontal="left" vertical="center" wrapText="1"/>
    </xf>
    <xf numFmtId="0" fontId="12" fillId="2" borderId="1" xfId="2" applyFont="1" applyFill="1" applyBorder="1" applyAlignment="1">
      <alignment horizontal="left" vertical="center" wrapText="1"/>
    </xf>
    <xf numFmtId="0" fontId="13" fillId="2" borderId="1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>
      <alignment horizontal="left" vertical="center" wrapText="1"/>
    </xf>
    <xf numFmtId="2" fontId="14" fillId="2" borderId="1" xfId="2" applyNumberFormat="1" applyFont="1" applyFill="1" applyBorder="1" applyAlignment="1">
      <alignment horizontal="left" vertical="center" wrapText="1"/>
    </xf>
    <xf numFmtId="0" fontId="15" fillId="2" borderId="1" xfId="2" applyFont="1" applyFill="1" applyBorder="1" applyAlignment="1">
      <alignment horizontal="left" vertical="center" wrapText="1"/>
    </xf>
    <xf numFmtId="0" fontId="14" fillId="2" borderId="0" xfId="2" applyFont="1" applyFill="1" applyBorder="1" applyAlignment="1">
      <alignment vertical="center"/>
    </xf>
    <xf numFmtId="0" fontId="10" fillId="3" borderId="0" xfId="2" applyFont="1" applyFill="1" applyBorder="1" applyAlignment="1">
      <alignment horizontal="center" vertical="center"/>
    </xf>
    <xf numFmtId="0" fontId="16" fillId="3" borderId="0" xfId="2" applyFont="1" applyFill="1" applyBorder="1" applyAlignment="1">
      <alignment horizontal="left" vertical="top"/>
    </xf>
    <xf numFmtId="0" fontId="9" fillId="3" borderId="0" xfId="2" applyFill="1" applyBorder="1" applyAlignment="1">
      <alignment horizontal="left" vertical="top"/>
    </xf>
    <xf numFmtId="0" fontId="17" fillId="2" borderId="0" xfId="2" applyFont="1" applyFill="1" applyBorder="1" applyAlignment="1">
      <alignment horizontal="left" vertical="center"/>
    </xf>
    <xf numFmtId="0" fontId="18" fillId="3" borderId="11" xfId="2" applyFont="1" applyFill="1" applyBorder="1" applyAlignment="1">
      <alignment horizontal="center" vertical="center" wrapText="1"/>
    </xf>
    <xf numFmtId="164" fontId="19" fillId="3" borderId="11" xfId="2" applyNumberFormat="1" applyFont="1" applyFill="1" applyBorder="1" applyAlignment="1">
      <alignment horizontal="left" vertical="center" wrapText="1"/>
    </xf>
    <xf numFmtId="0" fontId="19" fillId="3" borderId="11" xfId="2" applyFont="1" applyFill="1" applyBorder="1" applyAlignment="1">
      <alignment horizontal="left" vertical="center" wrapText="1"/>
    </xf>
    <xf numFmtId="165" fontId="18" fillId="3" borderId="11" xfId="2" applyNumberFormat="1" applyFont="1" applyFill="1" applyBorder="1" applyAlignment="1">
      <alignment horizontal="left" vertical="center" wrapText="1"/>
    </xf>
    <xf numFmtId="0" fontId="18" fillId="3" borderId="11" xfId="2" applyFont="1" applyFill="1" applyBorder="1" applyAlignment="1">
      <alignment horizontal="left" vertical="center" wrapText="1"/>
    </xf>
    <xf numFmtId="165" fontId="14" fillId="3" borderId="11" xfId="2" applyNumberFormat="1" applyFont="1" applyFill="1" applyBorder="1" applyAlignment="1">
      <alignment horizontal="left" vertical="center" wrapText="1"/>
    </xf>
    <xf numFmtId="0" fontId="14" fillId="3" borderId="11" xfId="2" applyFont="1" applyFill="1" applyBorder="1" applyAlignment="1">
      <alignment horizontal="left" vertical="center" wrapText="1"/>
    </xf>
    <xf numFmtId="166" fontId="14" fillId="3" borderId="11" xfId="2" applyNumberFormat="1" applyFont="1" applyFill="1" applyBorder="1" applyAlignment="1">
      <alignment horizontal="left" vertical="center" wrapText="1"/>
    </xf>
    <xf numFmtId="0" fontId="10" fillId="3" borderId="11" xfId="2" applyFont="1" applyFill="1" applyBorder="1" applyAlignment="1">
      <alignment horizontal="left" vertical="center" wrapText="1"/>
    </xf>
    <xf numFmtId="0" fontId="21" fillId="3" borderId="0" xfId="2" applyFont="1" applyFill="1" applyBorder="1" applyAlignment="1">
      <alignment horizontal="left" vertical="top"/>
    </xf>
    <xf numFmtId="0" fontId="12" fillId="2" borderId="0" xfId="2" applyFont="1" applyFill="1" applyBorder="1" applyAlignment="1">
      <alignment vertical="center"/>
    </xf>
    <xf numFmtId="0" fontId="10" fillId="2" borderId="0" xfId="4" applyFont="1" applyFill="1" applyBorder="1" applyAlignment="1">
      <alignment horizontal="center" vertical="center"/>
    </xf>
    <xf numFmtId="0" fontId="21" fillId="3" borderId="0" xfId="4" applyFont="1" applyFill="1" applyBorder="1" applyAlignment="1">
      <alignment horizontal="left" vertical="top"/>
    </xf>
    <xf numFmtId="0" fontId="11" fillId="2" borderId="1" xfId="4" applyFont="1" applyFill="1" applyBorder="1" applyAlignment="1">
      <alignment horizontal="center" vertical="center" wrapText="1"/>
    </xf>
    <xf numFmtId="0" fontId="18" fillId="3" borderId="15" xfId="4" applyFont="1" applyFill="1" applyBorder="1" applyAlignment="1">
      <alignment horizontal="left" vertical="center" wrapText="1"/>
    </xf>
    <xf numFmtId="0" fontId="11" fillId="2" borderId="7" xfId="4" applyFont="1" applyFill="1" applyBorder="1" applyAlignment="1">
      <alignment horizontal="center" vertical="center" wrapText="1"/>
    </xf>
    <xf numFmtId="0" fontId="18" fillId="3" borderId="11" xfId="4" applyFont="1" applyFill="1" applyBorder="1" applyAlignment="1">
      <alignment horizontal="left" vertical="center" wrapText="1"/>
    </xf>
    <xf numFmtId="0" fontId="10" fillId="3" borderId="0" xfId="4" applyFont="1" applyFill="1" applyBorder="1" applyAlignment="1">
      <alignment horizontal="left" vertical="top"/>
    </xf>
    <xf numFmtId="0" fontId="5" fillId="0" borderId="0" xfId="0" applyFont="1" applyProtection="1"/>
    <xf numFmtId="0" fontId="13" fillId="5" borderId="1" xfId="2" applyFont="1" applyFill="1" applyBorder="1" applyAlignment="1">
      <alignment horizontal="center" vertical="center" wrapText="1"/>
    </xf>
    <xf numFmtId="0" fontId="10" fillId="6" borderId="1" xfId="2" applyFont="1" applyFill="1" applyBorder="1" applyAlignment="1">
      <alignment horizontal="left" vertical="center" wrapText="1"/>
    </xf>
    <xf numFmtId="0" fontId="11" fillId="5" borderId="1" xfId="2" applyFont="1" applyFill="1" applyBorder="1" applyAlignment="1">
      <alignment horizontal="center" vertical="center" wrapText="1"/>
    </xf>
    <xf numFmtId="0" fontId="11" fillId="5" borderId="7" xfId="4" applyFont="1" applyFill="1" applyBorder="1" applyAlignment="1">
      <alignment horizontal="center" vertical="center" wrapText="1"/>
    </xf>
    <xf numFmtId="0" fontId="11" fillId="5" borderId="1" xfId="4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vertical="center"/>
    </xf>
    <xf numFmtId="0" fontId="23" fillId="0" borderId="0" xfId="0" applyFont="1"/>
    <xf numFmtId="0" fontId="7" fillId="0" borderId="0" xfId="0" applyFont="1"/>
    <xf numFmtId="0" fontId="25" fillId="0" borderId="0" xfId="0" applyFont="1"/>
    <xf numFmtId="0" fontId="22" fillId="0" borderId="0" xfId="0" applyFont="1" applyAlignment="1" applyProtection="1">
      <alignment horizontal="left" vertical="center"/>
    </xf>
    <xf numFmtId="0" fontId="11" fillId="2" borderId="0" xfId="2" applyFont="1" applyFill="1" applyBorder="1" applyAlignment="1">
      <alignment horizontal="left" vertical="center"/>
    </xf>
    <xf numFmtId="0" fontId="14" fillId="2" borderId="0" xfId="2" applyFont="1" applyFill="1" applyBorder="1" applyAlignment="1">
      <alignment horizontal="left" vertical="center"/>
    </xf>
    <xf numFmtId="0" fontId="11" fillId="2" borderId="1" xfId="2" applyFont="1" applyFill="1" applyBorder="1" applyAlignment="1">
      <alignment horizontal="center" vertical="center" wrapText="1"/>
    </xf>
    <xf numFmtId="0" fontId="7" fillId="0" borderId="0" xfId="0" applyFont="1" applyAlignment="1" applyProtection="1">
      <alignment vertical="center"/>
    </xf>
    <xf numFmtId="0" fontId="14" fillId="2" borderId="0" xfId="2" applyFont="1" applyFill="1" applyBorder="1" applyAlignment="1">
      <alignment horizontal="left" vertical="center"/>
    </xf>
    <xf numFmtId="0" fontId="3" fillId="0" borderId="0" xfId="0" applyFont="1" applyProtection="1"/>
    <xf numFmtId="0" fontId="9" fillId="3" borderId="0" xfId="2" applyFont="1" applyFill="1" applyBorder="1" applyAlignment="1">
      <alignment horizontal="left" vertical="top"/>
    </xf>
    <xf numFmtId="167" fontId="9" fillId="3" borderId="0" xfId="3" applyNumberFormat="1" applyFont="1" applyFill="1" applyBorder="1" applyAlignment="1">
      <alignment horizontal="left" vertical="top"/>
    </xf>
    <xf numFmtId="167" fontId="9" fillId="3" borderId="0" xfId="2" applyNumberFormat="1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14" fillId="2" borderId="0" xfId="2" applyFont="1" applyFill="1" applyBorder="1" applyAlignment="1">
      <alignment horizontal="left" vertical="center"/>
    </xf>
    <xf numFmtId="0" fontId="22" fillId="0" borderId="0" xfId="0" applyFont="1" applyAlignment="1" applyProtection="1">
      <alignment horizontal="left" vertical="center"/>
    </xf>
    <xf numFmtId="0" fontId="18" fillId="3" borderId="1" xfId="4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0" fontId="8" fillId="0" borderId="0" xfId="0" applyFont="1"/>
    <xf numFmtId="0" fontId="2" fillId="0" borderId="0" xfId="0" applyFont="1" applyAlignment="1">
      <alignment vertical="center"/>
    </xf>
    <xf numFmtId="0" fontId="2" fillId="7" borderId="0" xfId="0" applyFont="1" applyFill="1" applyBorder="1" applyAlignment="1">
      <alignment horizontal="center" vertical="center" wrapText="1"/>
    </xf>
    <xf numFmtId="0" fontId="33" fillId="0" borderId="0" xfId="0" applyFon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7" borderId="0" xfId="0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wrapText="1"/>
    </xf>
    <xf numFmtId="0" fontId="5" fillId="7" borderId="0" xfId="0" applyFont="1" applyFill="1" applyBorder="1" applyAlignment="1">
      <alignment vertical="center" wrapText="1"/>
    </xf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 applyProtection="1">
      <alignment horizontal="right" vertical="center"/>
    </xf>
    <xf numFmtId="0" fontId="26" fillId="0" borderId="1" xfId="0" applyFont="1" applyBorder="1" applyAlignment="1">
      <alignment wrapText="1"/>
    </xf>
    <xf numFmtId="0" fontId="38" fillId="0" borderId="1" xfId="0" applyFont="1" applyBorder="1" applyAlignment="1">
      <alignment wrapText="1"/>
    </xf>
    <xf numFmtId="0" fontId="26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40" fillId="3" borderId="0" xfId="2" applyFont="1" applyFill="1" applyBorder="1" applyAlignment="1">
      <alignment vertical="top"/>
    </xf>
    <xf numFmtId="0" fontId="42" fillId="2" borderId="1" xfId="2" applyFont="1" applyFill="1" applyBorder="1" applyAlignment="1">
      <alignment horizontal="center" vertical="center" wrapText="1"/>
    </xf>
    <xf numFmtId="0" fontId="41" fillId="3" borderId="11" xfId="2" applyFont="1" applyFill="1" applyBorder="1" applyAlignment="1">
      <alignment horizontal="left" vertical="center" wrapText="1"/>
    </xf>
    <xf numFmtId="0" fontId="42" fillId="0" borderId="1" xfId="2" applyFont="1" applyFill="1" applyBorder="1" applyAlignment="1">
      <alignment horizontal="center" vertical="center" wrapText="1"/>
    </xf>
    <xf numFmtId="0" fontId="42" fillId="2" borderId="2" xfId="2" applyFont="1" applyFill="1" applyBorder="1" applyAlignment="1">
      <alignment horizontal="center" vertical="center" wrapText="1"/>
    </xf>
    <xf numFmtId="0" fontId="42" fillId="2" borderId="7" xfId="2" applyFont="1" applyFill="1" applyBorder="1" applyAlignment="1">
      <alignment horizontal="center" vertical="center" wrapText="1"/>
    </xf>
    <xf numFmtId="0" fontId="11" fillId="2" borderId="0" xfId="2" applyFont="1" applyFill="1" applyBorder="1" applyAlignment="1">
      <alignment horizontal="center" vertical="center" wrapText="1"/>
    </xf>
    <xf numFmtId="0" fontId="10" fillId="2" borderId="0" xfId="2" applyFont="1" applyFill="1" applyBorder="1" applyAlignment="1">
      <alignment horizontal="left" vertical="center" wrapText="1"/>
    </xf>
    <xf numFmtId="0" fontId="21" fillId="3" borderId="0" xfId="2" applyFont="1" applyFill="1" applyBorder="1" applyAlignment="1">
      <alignment horizontal="center" vertical="top"/>
    </xf>
    <xf numFmtId="0" fontId="18" fillId="3" borderId="7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0" fillId="3" borderId="0" xfId="2" applyFont="1" applyFill="1" applyBorder="1" applyAlignment="1">
      <alignment vertical="center"/>
    </xf>
    <xf numFmtId="0" fontId="21" fillId="3" borderId="0" xfId="2" applyFont="1" applyFill="1" applyBorder="1" applyAlignment="1">
      <alignment horizontal="left" vertical="center"/>
    </xf>
    <xf numFmtId="0" fontId="9" fillId="3" borderId="0" xfId="2" applyFont="1" applyFill="1" applyBorder="1" applyAlignment="1">
      <alignment horizontal="left" vertical="center"/>
    </xf>
    <xf numFmtId="0" fontId="32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8" fillId="7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14" fillId="2" borderId="0" xfId="2" applyFont="1" applyFill="1" applyBorder="1" applyAlignment="1">
      <alignment horizontal="left" vertical="center"/>
    </xf>
    <xf numFmtId="0" fontId="22" fillId="0" borderId="0" xfId="0" applyFont="1" applyAlignment="1" applyProtection="1">
      <alignment horizontal="center" vertical="center" wrapText="1"/>
    </xf>
    <xf numFmtId="0" fontId="26" fillId="0" borderId="1" xfId="0" applyFont="1" applyBorder="1" applyAlignment="1">
      <alignment horizontal="right" wrapText="1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left" wrapText="1"/>
    </xf>
    <xf numFmtId="0" fontId="18" fillId="3" borderId="12" xfId="4" applyFont="1" applyFill="1" applyBorder="1" applyAlignment="1">
      <alignment horizontal="right" vertical="center" wrapText="1"/>
    </xf>
    <xf numFmtId="0" fontId="18" fillId="3" borderId="1" xfId="4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 vertical="center"/>
    </xf>
    <xf numFmtId="0" fontId="5" fillId="7" borderId="0" xfId="0" applyFont="1" applyFill="1" applyBorder="1" applyAlignment="1">
      <alignment horizontal="center" vertical="center" wrapText="1"/>
    </xf>
    <xf numFmtId="0" fontId="44" fillId="3" borderId="19" xfId="2" applyFont="1" applyFill="1" applyBorder="1" applyAlignment="1">
      <alignment horizontal="left" vertical="center"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4" fillId="2" borderId="0" xfId="2" applyFont="1" applyFill="1" applyBorder="1" applyAlignment="1">
      <alignment horizontal="left" vertical="center"/>
    </xf>
    <xf numFmtId="0" fontId="1" fillId="0" borderId="0" xfId="0" applyFont="1" applyProtection="1"/>
    <xf numFmtId="0" fontId="1" fillId="0" borderId="0" xfId="0" applyFont="1" applyProtection="1">
      <protection locked="0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10" fillId="3" borderId="0" xfId="2" applyFont="1" applyFill="1" applyBorder="1" applyAlignment="1">
      <alignment horizontal="center" vertical="center"/>
    </xf>
    <xf numFmtId="0" fontId="26" fillId="0" borderId="1" xfId="0" applyFont="1" applyBorder="1" applyAlignment="1">
      <alignment horizontal="left" vertical="center" wrapText="1"/>
    </xf>
    <xf numFmtId="0" fontId="14" fillId="2" borderId="0" xfId="2" applyFont="1" applyFill="1" applyBorder="1" applyAlignment="1">
      <alignment horizontal="left" vertical="center"/>
    </xf>
    <xf numFmtId="0" fontId="22" fillId="0" borderId="0" xfId="0" applyFont="1" applyAlignment="1" applyProtection="1">
      <alignment horizontal="center" vertical="center" wrapText="1"/>
    </xf>
    <xf numFmtId="0" fontId="11" fillId="2" borderId="2" xfId="2" applyFont="1" applyFill="1" applyBorder="1" applyAlignment="1">
      <alignment horizontal="center" vertical="center" wrapText="1"/>
    </xf>
    <xf numFmtId="0" fontId="10" fillId="3" borderId="0" xfId="2" applyFont="1" applyFill="1" applyBorder="1" applyAlignment="1">
      <alignment horizontal="center" vertical="center"/>
    </xf>
    <xf numFmtId="0" fontId="11" fillId="5" borderId="0" xfId="2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wrapText="1"/>
    </xf>
    <xf numFmtId="0" fontId="11" fillId="5" borderId="2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>
      <alignment horizontal="center" vertical="center" wrapText="1"/>
    </xf>
    <xf numFmtId="0" fontId="11" fillId="2" borderId="2" xfId="2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7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1" xfId="2" applyFont="1" applyFill="1" applyBorder="1" applyAlignment="1">
      <alignment horizontal="center" vertical="center" wrapText="1"/>
    </xf>
    <xf numFmtId="0" fontId="0" fillId="0" borderId="0" xfId="0" applyAlignment="1"/>
    <xf numFmtId="0" fontId="11" fillId="0" borderId="0" xfId="2" applyFont="1" applyFill="1" applyBorder="1" applyAlignment="1">
      <alignment horizontal="center" vertical="center"/>
    </xf>
    <xf numFmtId="0" fontId="21" fillId="3" borderId="2" xfId="2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51" fillId="0" borderId="1" xfId="0" applyFont="1" applyFill="1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/>
    <xf numFmtId="0" fontId="0" fillId="0" borderId="2" xfId="0" applyBorder="1" applyAlignment="1">
      <alignment horizontal="center" vertical="center"/>
    </xf>
    <xf numFmtId="0" fontId="0" fillId="0" borderId="9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 wrapText="1"/>
    </xf>
    <xf numFmtId="0" fontId="52" fillId="0" borderId="21" xfId="0" applyFont="1" applyBorder="1" applyAlignment="1">
      <alignment horizontal="left" vertical="center"/>
    </xf>
    <xf numFmtId="0" fontId="52" fillId="0" borderId="0" xfId="0" applyFont="1" applyBorder="1" applyAlignment="1">
      <alignment horizontal="left" vertical="center"/>
    </xf>
    <xf numFmtId="0" fontId="52" fillId="0" borderId="0" xfId="0" applyFont="1" applyBorder="1" applyAlignment="1">
      <alignment vertical="center"/>
    </xf>
    <xf numFmtId="0" fontId="21" fillId="3" borderId="9" xfId="2" applyFont="1" applyFill="1" applyBorder="1" applyAlignment="1">
      <alignment horizontal="center" vertical="center"/>
    </xf>
    <xf numFmtId="0" fontId="0" fillId="0" borderId="9" xfId="0" applyFont="1" applyBorder="1" applyAlignment="1">
      <alignment vertical="center"/>
    </xf>
    <xf numFmtId="0" fontId="0" fillId="0" borderId="17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5" borderId="9" xfId="0" applyFont="1" applyFill="1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1" fillId="5" borderId="1" xfId="0" applyFont="1" applyFill="1" applyBorder="1" applyAlignment="1">
      <alignment vertical="center"/>
    </xf>
    <xf numFmtId="0" fontId="1" fillId="0" borderId="1" xfId="0" applyFont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 vertical="center" wrapText="1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Fill="1" applyAlignment="1">
      <alignment vertical="center"/>
    </xf>
    <xf numFmtId="0" fontId="53" fillId="0" borderId="0" xfId="0" applyFont="1" applyFill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Font="1" applyFill="1" applyBorder="1" applyAlignment="1">
      <alignment vertical="center"/>
    </xf>
    <xf numFmtId="0" fontId="0" fillId="5" borderId="7" xfId="0" applyFont="1" applyFill="1" applyBorder="1" applyAlignment="1">
      <alignment vertical="center"/>
    </xf>
    <xf numFmtId="0" fontId="51" fillId="5" borderId="1" xfId="0" applyFont="1" applyFill="1" applyBorder="1" applyAlignment="1">
      <alignment horizontal="center" vertical="center"/>
    </xf>
    <xf numFmtId="0" fontId="58" fillId="0" borderId="17" xfId="0" applyFont="1" applyBorder="1" applyAlignment="1">
      <alignment horizontal="center" vertical="center" wrapText="1"/>
    </xf>
    <xf numFmtId="0" fontId="51" fillId="5" borderId="1" xfId="0" applyFont="1" applyFill="1" applyBorder="1" applyAlignment="1">
      <alignment horizontal="left"/>
    </xf>
    <xf numFmtId="0" fontId="52" fillId="0" borderId="21" xfId="0" applyFont="1" applyBorder="1" applyAlignment="1">
      <alignment vertical="center"/>
    </xf>
    <xf numFmtId="0" fontId="21" fillId="3" borderId="7" xfId="2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left"/>
    </xf>
    <xf numFmtId="0" fontId="1" fillId="0" borderId="0" xfId="0" applyFont="1" applyBorder="1" applyAlignment="1"/>
    <xf numFmtId="0" fontId="61" fillId="0" borderId="17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0" xfId="0" applyFont="1" applyAlignment="1"/>
    <xf numFmtId="0" fontId="0" fillId="2" borderId="9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51" fillId="0" borderId="0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51" fillId="0" borderId="1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2" fillId="0" borderId="22" xfId="0" applyFont="1" applyBorder="1" applyAlignment="1">
      <alignment horizontal="left" vertical="center"/>
    </xf>
    <xf numFmtId="0" fontId="52" fillId="0" borderId="23" xfId="0" applyFont="1" applyBorder="1" applyAlignment="1">
      <alignment horizontal="left" vertical="center"/>
    </xf>
    <xf numFmtId="0" fontId="52" fillId="0" borderId="23" xfId="0" applyFont="1" applyBorder="1" applyAlignmen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64" fillId="0" borderId="21" xfId="7" applyFont="1" applyFill="1" applyBorder="1" applyAlignment="1" applyProtection="1">
      <alignment horizontal="left" vertical="center"/>
      <protection hidden="1"/>
    </xf>
    <xf numFmtId="0" fontId="52" fillId="0" borderId="24" xfId="0" applyFont="1" applyBorder="1" applyAlignment="1">
      <alignment horizontal="left" vertical="center"/>
    </xf>
    <xf numFmtId="0" fontId="52" fillId="0" borderId="0" xfId="0" applyFont="1" applyFill="1" applyBorder="1" applyAlignment="1">
      <alignment vertical="center"/>
    </xf>
    <xf numFmtId="0" fontId="64" fillId="0" borderId="0" xfId="7" applyFont="1" applyFill="1" applyBorder="1" applyAlignment="1" applyProtection="1">
      <alignment horizontal="center" vertical="center" wrapText="1"/>
      <protection hidden="1"/>
    </xf>
    <xf numFmtId="0" fontId="52" fillId="0" borderId="22" xfId="0" applyFont="1" applyBorder="1" applyAlignment="1">
      <alignment vertical="center"/>
    </xf>
    <xf numFmtId="0" fontId="65" fillId="0" borderId="21" xfId="0" applyFont="1" applyBorder="1" applyAlignment="1">
      <alignment horizontal="left" vertical="center" readingOrder="1"/>
    </xf>
    <xf numFmtId="0" fontId="0" fillId="0" borderId="0" xfId="0" applyBorder="1" applyAlignment="1"/>
    <xf numFmtId="0" fontId="52" fillId="0" borderId="0" xfId="0" applyFont="1" applyAlignment="1">
      <alignment vertical="center"/>
    </xf>
    <xf numFmtId="0" fontId="53" fillId="0" borderId="0" xfId="0" applyFont="1" applyAlignment="1"/>
    <xf numFmtId="0" fontId="64" fillId="0" borderId="24" xfId="7" applyFont="1" applyFill="1" applyBorder="1" applyAlignment="1" applyProtection="1">
      <alignment horizontal="left" vertical="center"/>
      <protection hidden="1"/>
    </xf>
    <xf numFmtId="0" fontId="52" fillId="0" borderId="21" xfId="0" applyFont="1" applyBorder="1" applyAlignment="1">
      <alignment horizontal="left" vertical="center" wrapText="1"/>
    </xf>
    <xf numFmtId="0" fontId="64" fillId="0" borderId="24" xfId="7" applyFont="1" applyFill="1" applyBorder="1" applyAlignment="1" applyProtection="1">
      <alignment horizontal="left" vertical="center" wrapText="1"/>
      <protection hidden="1"/>
    </xf>
    <xf numFmtId="0" fontId="64" fillId="0" borderId="25" xfId="7" applyFont="1" applyFill="1" applyBorder="1" applyAlignment="1" applyProtection="1">
      <alignment horizontal="center" vertical="center"/>
      <protection hidden="1"/>
    </xf>
    <xf numFmtId="0" fontId="52" fillId="0" borderId="0" xfId="0" applyFont="1" applyBorder="1" applyAlignment="1">
      <alignment vertical="center" wrapText="1"/>
    </xf>
    <xf numFmtId="0" fontId="64" fillId="0" borderId="26" xfId="7" applyFont="1" applyFill="1" applyBorder="1" applyAlignment="1" applyProtection="1">
      <alignment horizontal="left" vertical="center"/>
      <protection hidden="1"/>
    </xf>
    <xf numFmtId="0" fontId="52" fillId="0" borderId="0" xfId="0" applyFont="1" applyBorder="1" applyAlignment="1">
      <alignment horizontal="center" vertical="center"/>
    </xf>
    <xf numFmtId="0" fontId="52" fillId="0" borderId="21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 wrapText="1"/>
    </xf>
    <xf numFmtId="0" fontId="52" fillId="0" borderId="23" xfId="0" applyFont="1" applyBorder="1" applyAlignment="1">
      <alignment horizontal="center" vertical="center"/>
    </xf>
    <xf numFmtId="0" fontId="52" fillId="0" borderId="23" xfId="0" applyFont="1" applyBorder="1" applyAlignment="1">
      <alignment vertical="center" wrapText="1"/>
    </xf>
    <xf numFmtId="0" fontId="0" fillId="2" borderId="7" xfId="0" applyFont="1" applyFill="1" applyBorder="1" applyAlignment="1">
      <alignment horizontal="left" vertical="center"/>
    </xf>
    <xf numFmtId="0" fontId="52" fillId="0" borderId="0" xfId="0" applyFont="1" applyBorder="1" applyAlignment="1">
      <alignment horizontal="left" vertical="center" wrapText="1"/>
    </xf>
    <xf numFmtId="0" fontId="52" fillId="0" borderId="2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52" fillId="0" borderId="22" xfId="0" applyFont="1" applyBorder="1" applyAlignment="1">
      <alignment horizontal="left" vertical="center" wrapText="1"/>
    </xf>
    <xf numFmtId="0" fontId="64" fillId="0" borderId="21" xfId="7" applyFont="1" applyFill="1" applyBorder="1" applyAlignment="1" applyProtection="1">
      <alignment horizontal="left" vertical="center" wrapText="1"/>
      <protection hidden="1"/>
    </xf>
    <xf numFmtId="0" fontId="52" fillId="0" borderId="21" xfId="0" applyFont="1" applyFill="1" applyBorder="1" applyAlignment="1">
      <alignment vertical="center" wrapText="1"/>
    </xf>
    <xf numFmtId="0" fontId="52" fillId="0" borderId="25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64" fillId="0" borderId="25" xfId="7" applyFont="1" applyFill="1" applyBorder="1" applyAlignment="1" applyProtection="1">
      <alignment horizontal="center" vertical="center" wrapText="1"/>
      <protection hidden="1"/>
    </xf>
    <xf numFmtId="0" fontId="52" fillId="0" borderId="21" xfId="0" applyFont="1" applyBorder="1" applyAlignment="1">
      <alignment horizontal="center" vertical="center"/>
    </xf>
    <xf numFmtId="0" fontId="65" fillId="0" borderId="21" xfId="0" applyFont="1" applyBorder="1" applyAlignment="1">
      <alignment horizontal="left" vertical="center"/>
    </xf>
    <xf numFmtId="0" fontId="65" fillId="0" borderId="21" xfId="0" applyFont="1" applyBorder="1" applyAlignment="1">
      <alignment horizontal="left" vertical="center" wrapText="1" readingOrder="1"/>
    </xf>
    <xf numFmtId="0" fontId="65" fillId="0" borderId="22" xfId="0" applyFont="1" applyBorder="1" applyAlignment="1">
      <alignment vertical="center"/>
    </xf>
    <xf numFmtId="0" fontId="64" fillId="0" borderId="27" xfId="7" applyFont="1" applyFill="1" applyBorder="1" applyAlignment="1" applyProtection="1">
      <alignment horizontal="center" vertical="center" wrapText="1"/>
      <protection hidden="1"/>
    </xf>
    <xf numFmtId="0" fontId="52" fillId="0" borderId="24" xfId="0" applyFont="1" applyBorder="1" applyAlignment="1">
      <alignment horizontal="left" vertical="center" wrapText="1"/>
    </xf>
    <xf numFmtId="0" fontId="52" fillId="0" borderId="24" xfId="0" applyFont="1" applyBorder="1" applyAlignment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6" fillId="0" borderId="4" xfId="0" applyFont="1" applyFill="1" applyBorder="1" applyAlignment="1" applyProtection="1">
      <alignment horizontal="center" vertical="center" wrapText="1"/>
    </xf>
    <xf numFmtId="0" fontId="6" fillId="0" borderId="6" xfId="0" applyFont="1" applyFill="1" applyBorder="1" applyAlignment="1" applyProtection="1">
      <alignment horizontal="center" vertical="center" wrapText="1"/>
    </xf>
    <xf numFmtId="0" fontId="6" fillId="10" borderId="1" xfId="0" applyFont="1" applyFill="1" applyBorder="1" applyAlignment="1" applyProtection="1">
      <alignment horizontal="center" vertical="center" wrapText="1"/>
      <protection locked="0"/>
    </xf>
    <xf numFmtId="0" fontId="1" fillId="10" borderId="1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wrapText="1"/>
      <protection locked="0"/>
    </xf>
    <xf numFmtId="0" fontId="1" fillId="0" borderId="3" xfId="0" applyFont="1" applyBorder="1" applyAlignment="1" applyProtection="1">
      <alignment wrapText="1"/>
    </xf>
    <xf numFmtId="0" fontId="18" fillId="3" borderId="13" xfId="2" applyFont="1" applyFill="1" applyBorder="1" applyAlignment="1">
      <alignment horizontal="center" vertical="center" wrapText="1"/>
    </xf>
    <xf numFmtId="0" fontId="11" fillId="6" borderId="1" xfId="2" applyFont="1" applyFill="1" applyBorder="1" applyAlignment="1" applyProtection="1">
      <alignment horizontal="center" vertical="center" wrapText="1"/>
      <protection locked="0"/>
    </xf>
    <xf numFmtId="0" fontId="11" fillId="10" borderId="1" xfId="2" applyFont="1" applyFill="1" applyBorder="1" applyAlignment="1" applyProtection="1">
      <alignment horizontal="center" vertical="center" wrapText="1"/>
      <protection locked="0"/>
    </xf>
    <xf numFmtId="0" fontId="10" fillId="6" borderId="1" xfId="2" applyFont="1" applyFill="1" applyBorder="1" applyAlignment="1" applyProtection="1">
      <alignment horizontal="left" vertical="center" wrapText="1"/>
      <protection locked="0"/>
    </xf>
    <xf numFmtId="0" fontId="1" fillId="0" borderId="17" xfId="0" applyFont="1" applyBorder="1" applyAlignment="1" applyProtection="1">
      <alignment wrapText="1"/>
    </xf>
    <xf numFmtId="0" fontId="66" fillId="3" borderId="16" xfId="2" applyFont="1" applyFill="1" applyBorder="1" applyAlignment="1">
      <alignment horizontal="center" vertical="center" wrapText="1"/>
    </xf>
    <xf numFmtId="0" fontId="66" fillId="2" borderId="9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>
      <alignment horizontal="right" vertical="center" wrapText="1"/>
    </xf>
    <xf numFmtId="0" fontId="18" fillId="9" borderId="2" xfId="2" applyFont="1" applyFill="1" applyBorder="1" applyAlignment="1" applyProtection="1">
      <alignment horizontal="left" vertical="center" wrapText="1"/>
      <protection locked="0"/>
    </xf>
    <xf numFmtId="0" fontId="11" fillId="6" borderId="2" xfId="2" applyFont="1" applyFill="1" applyBorder="1" applyAlignment="1" applyProtection="1">
      <alignment horizontal="center" vertical="center" wrapText="1"/>
      <protection locked="0"/>
    </xf>
    <xf numFmtId="0" fontId="11" fillId="10" borderId="2" xfId="2" applyFont="1" applyFill="1" applyBorder="1" applyAlignment="1" applyProtection="1">
      <alignment horizontal="center" vertical="center" wrapText="1"/>
      <protection locked="0"/>
    </xf>
    <xf numFmtId="0" fontId="11" fillId="6" borderId="2" xfId="2" applyFont="1" applyFill="1" applyBorder="1" applyAlignment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wrapText="1"/>
    </xf>
    <xf numFmtId="0" fontId="18" fillId="3" borderId="4" xfId="2" applyFont="1" applyFill="1" applyBorder="1" applyAlignment="1">
      <alignment vertical="center" wrapText="1"/>
    </xf>
    <xf numFmtId="0" fontId="66" fillId="3" borderId="6" xfId="2" applyFont="1" applyFill="1" applyBorder="1" applyAlignment="1">
      <alignment horizontal="left" vertical="center" wrapText="1"/>
    </xf>
    <xf numFmtId="0" fontId="18" fillId="3" borderId="1" xfId="2" applyFont="1" applyFill="1" applyBorder="1" applyAlignment="1">
      <alignment vertical="center" wrapText="1"/>
    </xf>
    <xf numFmtId="0" fontId="11" fillId="10" borderId="6" xfId="2" applyFont="1" applyFill="1" applyBorder="1" applyAlignment="1" applyProtection="1">
      <alignment horizontal="center" vertical="center" wrapText="1"/>
      <protection locked="0"/>
    </xf>
    <xf numFmtId="0" fontId="18" fillId="3" borderId="6" xfId="2" applyFont="1" applyFill="1" applyBorder="1" applyAlignment="1">
      <alignment horizontal="left" vertical="center" wrapText="1"/>
    </xf>
    <xf numFmtId="0" fontId="11" fillId="2" borderId="7" xfId="2" applyFont="1" applyFill="1" applyBorder="1" applyAlignment="1">
      <alignment horizontal="center" vertical="center" wrapText="1"/>
    </xf>
    <xf numFmtId="0" fontId="11" fillId="2" borderId="17" xfId="2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horizontal="center" wrapText="1"/>
    </xf>
    <xf numFmtId="0" fontId="1" fillId="0" borderId="0" xfId="0" applyFont="1" applyAlignment="1" applyProtection="1">
      <alignment wrapText="1"/>
    </xf>
    <xf numFmtId="0" fontId="11" fillId="2" borderId="9" xfId="2" applyFont="1" applyFill="1" applyBorder="1" applyAlignment="1">
      <alignment horizontal="center" vertical="center" wrapText="1"/>
    </xf>
    <xf numFmtId="0" fontId="18" fillId="9" borderId="1" xfId="2" applyFont="1" applyFill="1" applyBorder="1" applyAlignment="1" applyProtection="1">
      <alignment horizontal="left" vertical="center" wrapText="1"/>
      <protection locked="0"/>
    </xf>
    <xf numFmtId="0" fontId="1" fillId="0" borderId="9" xfId="0" applyFont="1" applyBorder="1" applyAlignment="1" applyProtection="1">
      <alignment wrapText="1"/>
    </xf>
    <xf numFmtId="0" fontId="7" fillId="0" borderId="9" xfId="0" applyFont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horizontal="center" vertical="center" wrapText="1"/>
    </xf>
    <xf numFmtId="0" fontId="1" fillId="9" borderId="2" xfId="0" applyFont="1" applyFill="1" applyBorder="1" applyAlignment="1" applyProtection="1">
      <alignment horizontal="left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Fill="1" applyBorder="1" applyAlignment="1" applyProtection="1">
      <alignment horizontal="center" vertical="center" wrapText="1"/>
    </xf>
    <xf numFmtId="0" fontId="67" fillId="6" borderId="1" xfId="0" applyFont="1" applyFill="1" applyBorder="1" applyAlignment="1" applyProtection="1">
      <alignment vertical="center" wrapText="1"/>
      <protection locked="0"/>
    </xf>
    <xf numFmtId="0" fontId="11" fillId="9" borderId="2" xfId="2" applyFont="1" applyFill="1" applyBorder="1" applyAlignment="1" applyProtection="1">
      <alignment horizontal="center" vertical="center" wrapText="1"/>
      <protection locked="0"/>
    </xf>
    <xf numFmtId="0" fontId="11" fillId="2" borderId="2" xfId="2" applyFont="1" applyFill="1" applyBorder="1" applyAlignment="1">
      <alignment horizontal="right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6" borderId="1" xfId="0" applyFont="1" applyFill="1" applyBorder="1" applyAlignment="1" applyProtection="1">
      <alignment vertical="center" wrapText="1"/>
      <protection locked="0"/>
    </xf>
    <xf numFmtId="49" fontId="8" fillId="0" borderId="4" xfId="0" applyNumberFormat="1" applyFont="1" applyBorder="1" applyAlignment="1">
      <alignment horizontal="righ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right" vertical="center" wrapText="1"/>
    </xf>
    <xf numFmtId="0" fontId="1" fillId="9" borderId="1" xfId="0" applyFont="1" applyFill="1" applyBorder="1" applyAlignment="1" applyProtection="1">
      <alignment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vertical="center" wrapText="1"/>
      <protection locked="0"/>
    </xf>
    <xf numFmtId="0" fontId="8" fillId="6" borderId="1" xfId="0" applyFont="1" applyFill="1" applyBorder="1" applyAlignment="1" applyProtection="1">
      <alignment vertical="center" wrapText="1"/>
      <protection locked="0"/>
    </xf>
    <xf numFmtId="49" fontId="8" fillId="0" borderId="3" xfId="0" applyNumberFormat="1" applyFont="1" applyBorder="1" applyAlignment="1">
      <alignment horizontal="right" vertical="center" wrapText="1"/>
    </xf>
    <xf numFmtId="0" fontId="7" fillId="0" borderId="2" xfId="0" applyFont="1" applyBorder="1" applyAlignment="1" applyProtection="1">
      <alignment horizontal="center" vertical="center" wrapText="1"/>
    </xf>
    <xf numFmtId="0" fontId="1" fillId="9" borderId="2" xfId="0" applyFont="1" applyFill="1" applyBorder="1" applyAlignment="1" applyProtection="1">
      <alignment vertical="center" wrapText="1"/>
      <protection locked="0"/>
    </xf>
    <xf numFmtId="0" fontId="1" fillId="0" borderId="1" xfId="0" applyFont="1" applyFill="1" applyBorder="1" applyAlignment="1" applyProtection="1">
      <alignment horizontal="center" vertical="center" wrapText="1"/>
    </xf>
    <xf numFmtId="0" fontId="68" fillId="0" borderId="17" xfId="0" applyFont="1" applyBorder="1" applyAlignment="1" applyProtection="1">
      <alignment horizontal="center" vertical="center" wrapText="1"/>
    </xf>
    <xf numFmtId="0" fontId="1" fillId="5" borderId="9" xfId="0" applyFont="1" applyFill="1" applyBorder="1" applyAlignment="1" applyProtection="1">
      <alignment vertical="center" wrapText="1"/>
    </xf>
    <xf numFmtId="0" fontId="1" fillId="5" borderId="9" xfId="0" applyFont="1" applyFill="1" applyBorder="1" applyAlignment="1" applyProtection="1">
      <alignment horizontal="center" vertical="center" wrapText="1"/>
    </xf>
    <xf numFmtId="0" fontId="7" fillId="0" borderId="17" xfId="0" applyFont="1" applyBorder="1" applyAlignment="1" applyProtection="1">
      <alignment horizontal="center" vertical="center" wrapText="1"/>
    </xf>
    <xf numFmtId="0" fontId="68" fillId="0" borderId="0" xfId="0" applyFont="1" applyBorder="1" applyAlignment="1" applyProtection="1">
      <alignment horizontal="center" vertical="center" wrapText="1"/>
    </xf>
    <xf numFmtId="0" fontId="1" fillId="5" borderId="16" xfId="0" applyFont="1" applyFill="1" applyBorder="1" applyAlignment="1" applyProtection="1">
      <alignment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center" vertical="center" wrapText="1"/>
    </xf>
    <xf numFmtId="0" fontId="6" fillId="11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>
      <alignment horizontal="center" vertical="center" wrapText="1"/>
    </xf>
    <xf numFmtId="0" fontId="36" fillId="6" borderId="2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>
      <alignment horizontal="center" vertical="center" wrapText="1"/>
    </xf>
    <xf numFmtId="0" fontId="36" fillId="6" borderId="1" xfId="0" applyFont="1" applyFill="1" applyBorder="1" applyAlignment="1" applyProtection="1">
      <alignment vertical="center" wrapText="1"/>
      <protection locked="0"/>
    </xf>
    <xf numFmtId="0" fontId="69" fillId="0" borderId="1" xfId="0" applyFont="1" applyFill="1" applyBorder="1" applyAlignment="1">
      <alignment vertical="center" wrapText="1"/>
    </xf>
    <xf numFmtId="0" fontId="36" fillId="0" borderId="1" xfId="0" applyFont="1" applyFill="1" applyBorder="1" applyAlignment="1">
      <alignment horizontal="center" vertical="center" wrapText="1"/>
    </xf>
    <xf numFmtId="0" fontId="36" fillId="9" borderId="1" xfId="0" applyFont="1" applyFill="1" applyBorder="1" applyAlignment="1" applyProtection="1">
      <alignment vertical="center" wrapText="1"/>
      <protection locked="0"/>
    </xf>
    <xf numFmtId="0" fontId="8" fillId="10" borderId="2" xfId="0" applyFont="1" applyFill="1" applyBorder="1" applyAlignment="1" applyProtection="1">
      <alignment horizontal="center" vertical="center" wrapText="1"/>
      <protection locked="0"/>
    </xf>
    <xf numFmtId="0" fontId="8" fillId="10" borderId="13" xfId="0" applyFont="1" applyFill="1" applyBorder="1" applyAlignment="1" applyProtection="1">
      <alignment horizontal="center" vertical="center" wrapText="1"/>
      <protection locked="0"/>
    </xf>
    <xf numFmtId="0" fontId="21" fillId="10" borderId="1" xfId="2" applyFont="1" applyFill="1" applyBorder="1" applyAlignment="1" applyProtection="1">
      <alignment horizontal="left" vertical="top" wrapText="1"/>
      <protection locked="0"/>
    </xf>
    <xf numFmtId="0" fontId="21" fillId="10" borderId="1" xfId="2" applyFont="1" applyFill="1" applyBorder="1" applyAlignment="1" applyProtection="1">
      <alignment horizontal="center" vertical="center" wrapText="1"/>
      <protection locked="0"/>
    </xf>
    <xf numFmtId="0" fontId="21" fillId="10" borderId="4" xfId="2" applyFont="1" applyFill="1" applyBorder="1" applyAlignment="1" applyProtection="1">
      <alignment horizontal="center" vertical="center" wrapText="1"/>
      <protection locked="0"/>
    </xf>
    <xf numFmtId="0" fontId="21" fillId="10" borderId="6" xfId="2" applyFont="1" applyFill="1" applyBorder="1" applyAlignment="1" applyProtection="1">
      <alignment horizontal="center" vertical="center" wrapText="1"/>
      <protection locked="0"/>
    </xf>
    <xf numFmtId="0" fontId="70" fillId="0" borderId="16" xfId="0" applyFont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36" fillId="6" borderId="2" xfId="0" applyFont="1" applyFill="1" applyBorder="1" applyAlignment="1" applyProtection="1">
      <alignment vertical="center" wrapText="1"/>
      <protection locked="0"/>
    </xf>
    <xf numFmtId="0" fontId="66" fillId="0" borderId="9" xfId="0" applyFont="1" applyFill="1" applyBorder="1" applyAlignment="1">
      <alignment horizontal="center" vertical="center" wrapText="1"/>
    </xf>
    <xf numFmtId="0" fontId="36" fillId="0" borderId="9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70" fillId="0" borderId="9" xfId="0" applyFont="1" applyFill="1" applyBorder="1" applyAlignment="1">
      <alignment horizontal="center" vertical="center" wrapText="1"/>
    </xf>
    <xf numFmtId="0" fontId="36" fillId="0" borderId="9" xfId="0" applyFont="1" applyFill="1" applyBorder="1" applyAlignment="1">
      <alignment vertical="center" wrapText="1"/>
    </xf>
    <xf numFmtId="0" fontId="8" fillId="0" borderId="8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8" fillId="0" borderId="16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6" borderId="2" xfId="0" applyFont="1" applyFill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>
      <alignment wrapText="1"/>
    </xf>
    <xf numFmtId="0" fontId="8" fillId="0" borderId="6" xfId="0" applyFont="1" applyBorder="1" applyAlignment="1">
      <alignment horizontal="center" vertical="center" wrapText="1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70" fillId="0" borderId="9" xfId="0" applyFont="1" applyBorder="1" applyAlignment="1">
      <alignment horizontal="center" vertical="center" wrapText="1"/>
    </xf>
    <xf numFmtId="0" fontId="8" fillId="0" borderId="17" xfId="0" applyFont="1" applyBorder="1" applyAlignment="1">
      <alignment wrapText="1"/>
    </xf>
    <xf numFmtId="0" fontId="8" fillId="5" borderId="9" xfId="0" applyFont="1" applyFill="1" applyBorder="1" applyAlignment="1" applyProtection="1">
      <alignment horizontal="center" vertical="center" wrapText="1"/>
      <protection locked="0"/>
    </xf>
    <xf numFmtId="0" fontId="8" fillId="0" borderId="9" xfId="0" applyFont="1" applyBorder="1" applyAlignment="1">
      <alignment vertical="center" wrapText="1"/>
    </xf>
    <xf numFmtId="0" fontId="8" fillId="0" borderId="17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16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8" fillId="10" borderId="6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7" fillId="11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wrapText="1"/>
      <protection locked="0"/>
    </xf>
    <xf numFmtId="0" fontId="7" fillId="0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Border="1" applyAlignment="1" applyProtection="1">
      <alignment wrapText="1"/>
    </xf>
    <xf numFmtId="0" fontId="18" fillId="3" borderId="4" xfId="2" applyFont="1" applyFill="1" applyBorder="1" applyAlignment="1" applyProtection="1">
      <alignment vertical="center" wrapText="1"/>
    </xf>
    <xf numFmtId="0" fontId="66" fillId="3" borderId="6" xfId="2" applyFont="1" applyFill="1" applyBorder="1" applyAlignment="1" applyProtection="1">
      <alignment horizontal="left" vertical="center" wrapText="1"/>
    </xf>
    <xf numFmtId="0" fontId="11" fillId="6" borderId="1" xfId="2" applyFont="1" applyFill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6" borderId="29" xfId="0" applyFont="1" applyFill="1" applyBorder="1" applyAlignment="1" applyProtection="1">
      <alignment horizontal="center" vertical="center" wrapText="1"/>
      <protection locked="0"/>
    </xf>
    <xf numFmtId="0" fontId="49" fillId="5" borderId="0" xfId="0" applyFont="1" applyFill="1"/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NumberFormat="1" applyFont="1" applyBorder="1" applyAlignment="1">
      <alignment horizontal="center" vertical="center" wrapText="1"/>
    </xf>
    <xf numFmtId="0" fontId="1" fillId="6" borderId="29" xfId="0" applyFont="1" applyFill="1" applyBorder="1" applyAlignment="1" applyProtection="1">
      <alignment horizontal="left" vertical="center" wrapText="1"/>
      <protection locked="0"/>
    </xf>
    <xf numFmtId="0" fontId="1" fillId="6" borderId="29" xfId="0" applyFont="1" applyFill="1" applyBorder="1" applyAlignment="1" applyProtection="1">
      <alignment vertical="center" wrapText="1"/>
      <protection locked="0"/>
    </xf>
    <xf numFmtId="0" fontId="11" fillId="2" borderId="1" xfId="2" applyFont="1" applyFill="1" applyBorder="1" applyAlignment="1" applyProtection="1">
      <alignment horizontal="center" vertical="center" wrapText="1"/>
    </xf>
    <xf numFmtId="0" fontId="11" fillId="5" borderId="1" xfId="2" applyFont="1" applyFill="1" applyBorder="1" applyAlignment="1" applyProtection="1">
      <alignment horizontal="center" vertical="center" wrapText="1"/>
    </xf>
    <xf numFmtId="0" fontId="11" fillId="5" borderId="1" xfId="2" applyFont="1" applyFill="1" applyBorder="1" applyAlignment="1" applyProtection="1">
      <alignment horizontal="center" vertical="center" wrapText="1"/>
      <protection locked="0"/>
    </xf>
    <xf numFmtId="0" fontId="11" fillId="5" borderId="6" xfId="2" applyFont="1" applyFill="1" applyBorder="1" applyAlignment="1" applyProtection="1">
      <alignment horizontal="center" vertical="center" wrapText="1"/>
      <protection locked="0"/>
    </xf>
    <xf numFmtId="0" fontId="11" fillId="0" borderId="1" xfId="2" applyFont="1" applyFill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/>
    </xf>
    <xf numFmtId="0" fontId="11" fillId="2" borderId="0" xfId="2" applyFont="1" applyFill="1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0" fontId="9" fillId="3" borderId="0" xfId="2" applyFill="1" applyBorder="1" applyAlignment="1">
      <alignment horizontal="left" vertical="center"/>
    </xf>
    <xf numFmtId="0" fontId="32" fillId="0" borderId="1" xfId="0" applyFont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/>
    </xf>
    <xf numFmtId="0" fontId="21" fillId="2" borderId="0" xfId="2" applyFont="1" applyFill="1" applyBorder="1" applyAlignment="1">
      <alignment horizontal="center" vertical="center"/>
    </xf>
    <xf numFmtId="0" fontId="21" fillId="2" borderId="0" xfId="2" applyFont="1" applyFill="1" applyBorder="1" applyAlignment="1">
      <alignment horizontal="left" vertical="center"/>
    </xf>
    <xf numFmtId="0" fontId="71" fillId="2" borderId="0" xfId="2" applyFont="1" applyFill="1" applyBorder="1" applyAlignment="1">
      <alignment horizontal="left" vertical="center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horizontal="left" vertical="center"/>
    </xf>
    <xf numFmtId="0" fontId="71" fillId="2" borderId="0" xfId="2" applyFont="1" applyFill="1" applyBorder="1" applyAlignment="1">
      <alignment vertical="center"/>
    </xf>
    <xf numFmtId="0" fontId="1" fillId="0" borderId="0" xfId="0" applyFont="1" applyFill="1" applyBorder="1" applyAlignment="1">
      <alignment horizontal="left" vertical="center"/>
    </xf>
    <xf numFmtId="0" fontId="73" fillId="2" borderId="0" xfId="2" applyFont="1" applyFill="1" applyBorder="1" applyAlignment="1">
      <alignment horizontal="center" vertical="center"/>
    </xf>
    <xf numFmtId="0" fontId="73" fillId="2" borderId="0" xfId="2" applyFont="1" applyFill="1" applyBorder="1" applyAlignment="1">
      <alignment horizontal="left" vertical="center"/>
    </xf>
    <xf numFmtId="0" fontId="73" fillId="3" borderId="0" xfId="2" applyFont="1" applyFill="1" applyBorder="1" applyAlignment="1">
      <alignment horizontal="left" vertical="top"/>
    </xf>
    <xf numFmtId="0" fontId="74" fillId="2" borderId="0" xfId="2" applyFont="1" applyFill="1" applyBorder="1" applyAlignment="1">
      <alignment horizontal="left" vertical="center"/>
    </xf>
    <xf numFmtId="0" fontId="75" fillId="3" borderId="0" xfId="2" applyFont="1" applyFill="1" applyBorder="1" applyAlignment="1">
      <alignment horizontal="left" vertical="top"/>
    </xf>
    <xf numFmtId="0" fontId="75" fillId="2" borderId="0" xfId="2" applyFont="1" applyFill="1" applyBorder="1" applyAlignment="1">
      <alignment horizontal="left" vertical="center"/>
    </xf>
    <xf numFmtId="0" fontId="75" fillId="2" borderId="0" xfId="2" applyFont="1" applyFill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left" vertical="center" wrapText="1"/>
      <protection locked="0"/>
    </xf>
    <xf numFmtId="0" fontId="74" fillId="2" borderId="0" xfId="2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2" fontId="1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78" fillId="6" borderId="1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vertical="center"/>
    </xf>
    <xf numFmtId="0" fontId="68" fillId="0" borderId="0" xfId="0" applyFont="1" applyAlignment="1">
      <alignment vertical="center"/>
    </xf>
    <xf numFmtId="0" fontId="76" fillId="0" borderId="0" xfId="0" applyFont="1" applyBorder="1" applyAlignment="1">
      <alignment vertical="center"/>
    </xf>
    <xf numFmtId="0" fontId="68" fillId="0" borderId="0" xfId="0" applyFont="1" applyProtection="1"/>
    <xf numFmtId="0" fontId="79" fillId="0" borderId="0" xfId="0" applyFont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76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 wrapText="1"/>
    </xf>
    <xf numFmtId="0" fontId="1" fillId="0" borderId="0" xfId="0" applyFont="1" applyBorder="1"/>
    <xf numFmtId="0" fontId="1" fillId="0" borderId="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37" fontId="1" fillId="10" borderId="1" xfId="5" applyNumberFormat="1" applyFont="1" applyFill="1" applyBorder="1" applyAlignment="1" applyProtection="1">
      <alignment horizontal="center" vertical="center" wrapText="1"/>
      <protection locked="0"/>
    </xf>
    <xf numFmtId="0" fontId="80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 wrapText="1"/>
    </xf>
    <xf numFmtId="0" fontId="7" fillId="11" borderId="1" xfId="0" applyFont="1" applyFill="1" applyBorder="1" applyAlignment="1" applyProtection="1">
      <alignment horizontal="center" vertical="center" wrapText="1"/>
      <protection locked="0"/>
    </xf>
    <xf numFmtId="0" fontId="7" fillId="10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>
      <alignment horizontal="left" vertical="center" wrapText="1"/>
    </xf>
    <xf numFmtId="37" fontId="1" fillId="0" borderId="1" xfId="0" applyNumberFormat="1" applyFont="1" applyFill="1" applyBorder="1" applyAlignment="1">
      <alignment horizontal="center" vertical="center" wrapText="1"/>
    </xf>
    <xf numFmtId="9" fontId="1" fillId="0" borderId="1" xfId="6" applyFont="1" applyFill="1" applyBorder="1" applyAlignment="1">
      <alignment horizontal="center" vertical="center" wrapText="1"/>
    </xf>
    <xf numFmtId="37" fontId="7" fillId="0" borderId="1" xfId="0" applyNumberFormat="1" applyFont="1" applyFill="1" applyBorder="1" applyAlignment="1">
      <alignment horizontal="center" vertical="center" wrapText="1"/>
    </xf>
    <xf numFmtId="0" fontId="1" fillId="13" borderId="3" xfId="0" applyFont="1" applyFill="1" applyBorder="1" applyAlignment="1">
      <alignment vertical="center" wrapText="1"/>
    </xf>
    <xf numFmtId="0" fontId="1" fillId="13" borderId="18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vertical="center" wrapText="1"/>
    </xf>
    <xf numFmtId="0" fontId="1" fillId="13" borderId="10" xfId="0" applyFont="1" applyFill="1" applyBorder="1" applyAlignment="1">
      <alignment vertical="center" wrapText="1"/>
    </xf>
    <xf numFmtId="0" fontId="1" fillId="13" borderId="10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 applyProtection="1">
      <alignment horizontal="center" vertical="center" wrapText="1"/>
      <protection locked="0"/>
    </xf>
    <xf numFmtId="0" fontId="76" fillId="0" borderId="0" xfId="0" applyFont="1"/>
    <xf numFmtId="0" fontId="32" fillId="0" borderId="30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32" fillId="0" borderId="28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2" fillId="12" borderId="28" xfId="0" applyFont="1" applyFill="1" applyBorder="1" applyAlignment="1">
      <alignment horizontal="center" vertical="center" wrapText="1"/>
    </xf>
    <xf numFmtId="0" fontId="32" fillId="12" borderId="29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0" borderId="35" xfId="0" applyFont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29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12" borderId="36" xfId="0" applyFont="1" applyFill="1" applyBorder="1" applyAlignment="1">
      <alignment horizontal="center" vertical="center" wrapText="1"/>
    </xf>
    <xf numFmtId="0" fontId="7" fillId="0" borderId="40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 wrapText="1"/>
    </xf>
    <xf numFmtId="0" fontId="1" fillId="12" borderId="41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68" fillId="0" borderId="0" xfId="0" applyFont="1"/>
    <xf numFmtId="0" fontId="68" fillId="3" borderId="0" xfId="2" applyFont="1" applyFill="1" applyBorder="1" applyAlignment="1">
      <alignment horizontal="center" vertical="top"/>
    </xf>
    <xf numFmtId="0" fontId="7" fillId="0" borderId="2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 applyProtection="1">
      <alignment vertical="center" wrapText="1"/>
      <protection locked="0"/>
    </xf>
    <xf numFmtId="0" fontId="22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24" fillId="0" borderId="2" xfId="0" applyFont="1" applyBorder="1" applyAlignment="1" applyProtection="1">
      <alignment horizontal="center" vertical="center" wrapText="1"/>
    </xf>
    <xf numFmtId="0" fontId="24" fillId="12" borderId="2" xfId="0" applyFont="1" applyFill="1" applyBorder="1" applyAlignment="1" applyProtection="1">
      <alignment horizontal="center" vertical="center" wrapText="1"/>
    </xf>
    <xf numFmtId="0" fontId="1" fillId="0" borderId="0" xfId="0" applyFont="1" applyFill="1" applyProtection="1"/>
    <xf numFmtId="0" fontId="26" fillId="0" borderId="1" xfId="0" applyFont="1" applyFill="1" applyBorder="1" applyAlignment="1" applyProtection="1">
      <alignment horizontal="center" vertical="center" wrapText="1"/>
    </xf>
    <xf numFmtId="0" fontId="26" fillId="0" borderId="5" xfId="0" applyFont="1" applyFill="1" applyBorder="1" applyAlignment="1" applyProtection="1">
      <alignment vertical="center" wrapText="1"/>
    </xf>
    <xf numFmtId="0" fontId="26" fillId="0" borderId="6" xfId="0" applyFont="1" applyFill="1" applyBorder="1" applyAlignment="1" applyProtection="1">
      <alignment horizontal="center" vertical="center" wrapText="1"/>
    </xf>
    <xf numFmtId="0" fontId="26" fillId="10" borderId="1" xfId="0" applyFont="1" applyFill="1" applyBorder="1" applyAlignment="1" applyProtection="1">
      <alignment horizontal="center" vertical="center" wrapText="1"/>
      <protection locked="0"/>
    </xf>
    <xf numFmtId="0" fontId="26" fillId="10" borderId="4" xfId="0" applyFont="1" applyFill="1" applyBorder="1" applyAlignment="1" applyProtection="1">
      <alignment horizontal="center" vertical="center" wrapText="1"/>
      <protection locked="0"/>
    </xf>
    <xf numFmtId="0" fontId="1" fillId="0" borderId="0" xfId="8" applyFont="1" applyFill="1" applyProtection="1"/>
    <xf numFmtId="0" fontId="6" fillId="0" borderId="5" xfId="8" applyFont="1" applyFill="1" applyBorder="1" applyAlignment="1" applyProtection="1">
      <alignment vertical="center" wrapText="1"/>
    </xf>
    <xf numFmtId="0" fontId="6" fillId="10" borderId="1" xfId="8" applyFont="1" applyFill="1" applyBorder="1" applyAlignment="1" applyProtection="1">
      <alignment horizontal="center" vertical="center" wrapText="1"/>
      <protection locked="0"/>
    </xf>
    <xf numFmtId="0" fontId="6" fillId="10" borderId="4" xfId="8" applyFont="1" applyFill="1" applyBorder="1" applyAlignment="1" applyProtection="1">
      <alignment horizontal="center" vertical="center" wrapText="1"/>
      <protection locked="0"/>
    </xf>
    <xf numFmtId="0" fontId="26" fillId="12" borderId="5" xfId="0" applyFont="1" applyFill="1" applyBorder="1" applyAlignment="1" applyProtection="1">
      <alignment vertical="center" wrapText="1"/>
    </xf>
    <xf numFmtId="0" fontId="26" fillId="12" borderId="4" xfId="0" applyFont="1" applyFill="1" applyBorder="1" applyAlignment="1" applyProtection="1">
      <alignment vertical="center" wrapText="1"/>
    </xf>
    <xf numFmtId="0" fontId="26" fillId="12" borderId="6" xfId="0" applyFont="1" applyFill="1" applyBorder="1" applyAlignment="1" applyProtection="1">
      <alignment vertical="center" wrapText="1"/>
    </xf>
    <xf numFmtId="0" fontId="26" fillId="0" borderId="4" xfId="0" applyFont="1" applyFill="1" applyBorder="1" applyAlignment="1" applyProtection="1">
      <alignment vertical="center" wrapText="1"/>
    </xf>
    <xf numFmtId="0" fontId="26" fillId="0" borderId="1" xfId="0" applyFont="1" applyBorder="1" applyAlignment="1" applyProtection="1">
      <alignment horizontal="center" vertical="center" wrapText="1"/>
    </xf>
    <xf numFmtId="0" fontId="26" fillId="12" borderId="1" xfId="0" applyFont="1" applyFill="1" applyBorder="1" applyAlignment="1" applyProtection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1" fillId="0" borderId="0" xfId="8" applyFont="1"/>
    <xf numFmtId="0" fontId="7" fillId="0" borderId="1" xfId="8" applyFont="1" applyBorder="1" applyAlignment="1">
      <alignment horizontal="center" vertical="center" wrapText="1"/>
    </xf>
    <xf numFmtId="0" fontId="7" fillId="12" borderId="1" xfId="8" applyFont="1" applyFill="1" applyBorder="1" applyAlignment="1">
      <alignment horizontal="center" vertical="center"/>
    </xf>
    <xf numFmtId="0" fontId="7" fillId="0" borderId="1" xfId="8" applyFont="1" applyBorder="1" applyAlignment="1">
      <alignment vertical="center"/>
    </xf>
    <xf numFmtId="0" fontId="7" fillId="0" borderId="1" xfId="8" applyFont="1" applyFill="1" applyBorder="1" applyAlignment="1">
      <alignment horizontal="left" vertical="center"/>
    </xf>
    <xf numFmtId="0" fontId="1" fillId="0" borderId="1" xfId="8" applyFont="1" applyBorder="1" applyAlignment="1">
      <alignment horizontal="center" vertical="center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8" applyFont="1" applyBorder="1" applyAlignment="1">
      <alignment vertical="center"/>
    </xf>
    <xf numFmtId="0" fontId="1" fillId="0" borderId="1" xfId="8" applyFont="1" applyBorder="1" applyAlignment="1">
      <alignment horizontal="left" vertical="center" indent="2"/>
    </xf>
    <xf numFmtId="0" fontId="1" fillId="0" borderId="1" xfId="8" applyFont="1" applyBorder="1" applyAlignment="1">
      <alignment horizontal="left" vertical="center" wrapText="1" indent="2"/>
    </xf>
    <xf numFmtId="2" fontId="1" fillId="0" borderId="1" xfId="8" applyNumberFormat="1" applyFont="1" applyBorder="1" applyAlignment="1">
      <alignment vertical="center"/>
    </xf>
    <xf numFmtId="0" fontId="1" fillId="0" borderId="1" xfId="8" applyFont="1" applyFill="1" applyBorder="1" applyAlignment="1">
      <alignment horizontal="left" vertical="center" indent="2"/>
    </xf>
    <xf numFmtId="0" fontId="1" fillId="0" borderId="1" xfId="8" applyFont="1" applyBorder="1" applyAlignment="1">
      <alignment horizontal="center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1" xfId="8" applyFont="1" applyFill="1" applyBorder="1" applyAlignment="1">
      <alignment horizontal="left" vertical="center" wrapText="1"/>
    </xf>
    <xf numFmtId="0" fontId="1" fillId="0" borderId="1" xfId="8" applyFont="1" applyFill="1" applyBorder="1" applyAlignment="1">
      <alignment horizontal="left" vertical="center" wrapText="1" indent="2"/>
    </xf>
    <xf numFmtId="0" fontId="7" fillId="0" borderId="0" xfId="8" applyFont="1"/>
    <xf numFmtId="0" fontId="1" fillId="0" borderId="0" xfId="8" applyFont="1" applyAlignment="1">
      <alignment wrapText="1"/>
    </xf>
    <xf numFmtId="0" fontId="10" fillId="0" borderId="0" xfId="2" applyFont="1" applyFill="1" applyBorder="1" applyAlignment="1">
      <alignment horizontal="center" vertical="center"/>
    </xf>
    <xf numFmtId="0" fontId="32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 indent="2"/>
    </xf>
    <xf numFmtId="0" fontId="32" fillId="0" borderId="4" xfId="0" applyFont="1" applyBorder="1" applyAlignment="1">
      <alignment vertical="center" wrapText="1"/>
    </xf>
    <xf numFmtId="0" fontId="32" fillId="0" borderId="4" xfId="0" applyFont="1" applyBorder="1" applyAlignment="1">
      <alignment vertical="center"/>
    </xf>
    <xf numFmtId="0" fontId="32" fillId="0" borderId="5" xfId="0" applyFont="1" applyBorder="1" applyAlignment="1">
      <alignment vertical="center" wrapText="1"/>
    </xf>
    <xf numFmtId="0" fontId="32" fillId="6" borderId="5" xfId="0" applyFont="1" applyFill="1" applyBorder="1" applyAlignment="1" applyProtection="1">
      <alignment vertical="center" wrapText="1"/>
      <protection locked="0"/>
    </xf>
    <xf numFmtId="0" fontId="32" fillId="6" borderId="6" xfId="0" applyFont="1" applyFill="1" applyBorder="1" applyAlignment="1" applyProtection="1">
      <alignment vertical="center" wrapText="1"/>
      <protection locked="0"/>
    </xf>
    <xf numFmtId="0" fontId="12" fillId="2" borderId="1" xfId="2" applyFont="1" applyFill="1" applyBorder="1" applyAlignment="1">
      <alignment horizontal="center" vertical="center" wrapText="1"/>
    </xf>
    <xf numFmtId="0" fontId="19" fillId="12" borderId="1" xfId="2" applyFont="1" applyFill="1" applyBorder="1" applyAlignment="1">
      <alignment horizontal="center" vertical="center" wrapText="1"/>
    </xf>
    <xf numFmtId="0" fontId="19" fillId="12" borderId="6" xfId="2" applyFont="1" applyFill="1" applyBorder="1" applyAlignment="1">
      <alignment horizontal="center" vertical="center" wrapText="1"/>
    </xf>
    <xf numFmtId="0" fontId="18" fillId="3" borderId="12" xfId="2" applyFont="1" applyFill="1" applyBorder="1" applyAlignment="1">
      <alignment horizontal="center" vertical="center" wrapText="1"/>
    </xf>
    <xf numFmtId="0" fontId="10" fillId="6" borderId="7" xfId="2" applyFont="1" applyFill="1" applyBorder="1" applyAlignment="1" applyProtection="1">
      <alignment horizontal="left" vertical="center" wrapText="1"/>
      <protection locked="0"/>
    </xf>
    <xf numFmtId="0" fontId="18" fillId="3" borderId="9" xfId="2" applyFont="1" applyFill="1" applyBorder="1" applyAlignment="1">
      <alignment vertical="center" wrapText="1"/>
    </xf>
    <xf numFmtId="0" fontId="70" fillId="3" borderId="0" xfId="2" applyFont="1" applyFill="1" applyBorder="1" applyAlignment="1">
      <alignment horizontal="left" vertical="top"/>
    </xf>
    <xf numFmtId="0" fontId="87" fillId="2" borderId="0" xfId="2" applyFont="1" applyFill="1" applyBorder="1" applyAlignment="1">
      <alignment horizontal="center" vertical="center"/>
    </xf>
    <xf numFmtId="0" fontId="13" fillId="2" borderId="0" xfId="2" applyFont="1" applyFill="1" applyBorder="1" applyAlignment="1">
      <alignment horizontal="center" vertical="center"/>
    </xf>
    <xf numFmtId="0" fontId="21" fillId="3" borderId="0" xfId="2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1" fillId="8" borderId="1" xfId="0" applyFont="1" applyFill="1" applyBorder="1" applyAlignment="1" applyProtection="1">
      <alignment horizontal="center" wrapText="1"/>
      <protection locked="0"/>
    </xf>
    <xf numFmtId="0" fontId="1" fillId="8" borderId="1" xfId="0" applyFont="1" applyFill="1" applyBorder="1" applyAlignment="1" applyProtection="1">
      <alignment wrapText="1"/>
      <protection locked="0"/>
    </xf>
    <xf numFmtId="0" fontId="8" fillId="8" borderId="1" xfId="0" applyFont="1" applyFill="1" applyBorder="1" applyAlignment="1" applyProtection="1">
      <alignment horizont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34" fillId="0" borderId="1" xfId="0" applyFont="1" applyBorder="1" applyAlignment="1" applyProtection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10" borderId="1" xfId="0" applyFont="1" applyFill="1" applyBorder="1" applyAlignment="1" applyProtection="1">
      <alignment horizontal="center" wrapText="1"/>
      <protection locked="0"/>
    </xf>
    <xf numFmtId="0" fontId="26" fillId="6" borderId="1" xfId="0" applyFont="1" applyFill="1" applyBorder="1" applyAlignment="1" applyProtection="1">
      <alignment horizontal="center" wrapText="1"/>
      <protection locked="0"/>
    </xf>
    <xf numFmtId="0" fontId="26" fillId="10" borderId="1" xfId="0" applyFont="1" applyFill="1" applyBorder="1" applyAlignment="1" applyProtection="1">
      <alignment wrapText="1"/>
      <protection locked="0"/>
    </xf>
    <xf numFmtId="0" fontId="38" fillId="10" borderId="1" xfId="0" applyFont="1" applyFill="1" applyBorder="1" applyAlignment="1" applyProtection="1">
      <alignment horizont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>
      <alignment horizontal="center" vertical="center" wrapText="1"/>
    </xf>
    <xf numFmtId="0" fontId="10" fillId="3" borderId="0" xfId="2" applyFont="1" applyFill="1" applyBorder="1" applyAlignment="1">
      <alignment horizontal="center" vertical="center"/>
    </xf>
    <xf numFmtId="0" fontId="14" fillId="2" borderId="0" xfId="2" applyFont="1" applyFill="1" applyBorder="1" applyAlignment="1">
      <alignment horizontal="left" vertical="center"/>
    </xf>
    <xf numFmtId="0" fontId="22" fillId="0" borderId="0" xfId="0" applyFont="1" applyAlignment="1" applyProtection="1">
      <alignment horizontal="center" vertical="center" wrapText="1"/>
    </xf>
    <xf numFmtId="0" fontId="14" fillId="2" borderId="0" xfId="2" applyFont="1" applyFill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 wrapText="1"/>
    </xf>
    <xf numFmtId="0" fontId="18" fillId="3" borderId="1" xfId="2" applyFont="1" applyFill="1" applyBorder="1" applyAlignment="1">
      <alignment horizontal="center" vertical="center" wrapText="1"/>
    </xf>
    <xf numFmtId="0" fontId="11" fillId="2" borderId="2" xfId="2" applyFont="1" applyFill="1" applyBorder="1" applyAlignment="1">
      <alignment horizontal="center" vertical="center" wrapText="1"/>
    </xf>
    <xf numFmtId="49" fontId="8" fillId="0" borderId="8" xfId="0" applyNumberFormat="1" applyFont="1" applyBorder="1" applyAlignment="1">
      <alignment horizontal="right" vertical="center" wrapText="1"/>
    </xf>
    <xf numFmtId="0" fontId="0" fillId="0" borderId="16" xfId="0" applyBorder="1"/>
    <xf numFmtId="0" fontId="0" fillId="0" borderId="16" xfId="0" applyFont="1" applyBorder="1" applyAlignment="1">
      <alignment vertical="center"/>
    </xf>
    <xf numFmtId="0" fontId="1" fillId="0" borderId="17" xfId="0" applyFont="1" applyFill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horizontal="left" vertical="center"/>
    </xf>
    <xf numFmtId="0" fontId="83" fillId="2" borderId="1" xfId="2" applyFont="1" applyFill="1" applyBorder="1" applyAlignment="1">
      <alignment horizontal="left" vertical="center" wrapText="1"/>
    </xf>
    <xf numFmtId="0" fontId="10" fillId="10" borderId="1" xfId="2" applyFont="1" applyFill="1" applyBorder="1" applyAlignment="1" applyProtection="1">
      <alignment horizontal="center" vertical="center" wrapText="1"/>
      <protection locked="0"/>
    </xf>
    <xf numFmtId="0" fontId="14" fillId="10" borderId="1" xfId="2" applyFont="1" applyFill="1" applyBorder="1" applyAlignment="1" applyProtection="1">
      <alignment horizontal="center" vertical="center" wrapText="1"/>
      <protection locked="0"/>
    </xf>
    <xf numFmtId="0" fontId="43" fillId="3" borderId="0" xfId="2" applyFont="1" applyFill="1" applyBorder="1" applyAlignment="1">
      <alignment horizontal="center" vertical="center"/>
    </xf>
    <xf numFmtId="0" fontId="77" fillId="0" borderId="0" xfId="0" applyFont="1"/>
    <xf numFmtId="0" fontId="43" fillId="3" borderId="1" xfId="2" applyFont="1" applyFill="1" applyBorder="1" applyAlignment="1">
      <alignment horizontal="left" vertical="center"/>
    </xf>
    <xf numFmtId="0" fontId="24" fillId="0" borderId="1" xfId="0" applyFont="1" applyBorder="1" applyAlignment="1">
      <alignment horizontal="left" vertical="center" wrapText="1"/>
    </xf>
    <xf numFmtId="0" fontId="41" fillId="3" borderId="42" xfId="2" applyFont="1" applyFill="1" applyBorder="1" applyAlignment="1">
      <alignment horizontal="left" vertical="center" wrapText="1"/>
    </xf>
    <xf numFmtId="0" fontId="46" fillId="3" borderId="43" xfId="2" applyFont="1" applyFill="1" applyBorder="1" applyAlignment="1">
      <alignment horizontal="left" vertical="center" wrapText="1"/>
    </xf>
    <xf numFmtId="0" fontId="26" fillId="0" borderId="6" xfId="0" applyFont="1" applyBorder="1" applyAlignment="1">
      <alignment vertical="center" wrapText="1"/>
    </xf>
    <xf numFmtId="0" fontId="41" fillId="3" borderId="44" xfId="2" applyFont="1" applyFill="1" applyBorder="1" applyAlignment="1">
      <alignment horizontal="left" vertical="center" wrapText="1"/>
    </xf>
    <xf numFmtId="0" fontId="47" fillId="3" borderId="42" xfId="2" applyFont="1" applyFill="1" applyBorder="1" applyAlignment="1">
      <alignment horizontal="left" vertical="center" wrapText="1"/>
    </xf>
    <xf numFmtId="0" fontId="44" fillId="3" borderId="1" xfId="2" applyNumberFormat="1" applyFont="1" applyFill="1" applyBorder="1" applyAlignment="1">
      <alignment horizontal="left" vertical="center" wrapText="1"/>
    </xf>
    <xf numFmtId="164" fontId="41" fillId="3" borderId="1" xfId="2" applyNumberFormat="1" applyFont="1" applyFill="1" applyBorder="1" applyAlignment="1">
      <alignment horizontal="left" vertical="center" wrapText="1"/>
    </xf>
    <xf numFmtId="0" fontId="41" fillId="3" borderId="1" xfId="2" applyNumberFormat="1" applyFont="1" applyFill="1" applyBorder="1" applyAlignment="1">
      <alignment horizontal="left" vertical="center" wrapText="1"/>
    </xf>
    <xf numFmtId="0" fontId="40" fillId="3" borderId="9" xfId="2" applyFont="1" applyFill="1" applyBorder="1" applyAlignment="1">
      <alignment vertical="center"/>
    </xf>
    <xf numFmtId="0" fontId="40" fillId="3" borderId="3" xfId="2" applyFont="1" applyFill="1" applyBorder="1" applyAlignment="1">
      <alignment horizontal="center" vertical="center"/>
    </xf>
    <xf numFmtId="0" fontId="44" fillId="3" borderId="6" xfId="2" applyNumberFormat="1" applyFont="1" applyFill="1" applyBorder="1" applyAlignment="1">
      <alignment horizontal="left" vertical="center" wrapText="1"/>
    </xf>
    <xf numFmtId="0" fontId="45" fillId="3" borderId="6" xfId="2" applyNumberFormat="1" applyFont="1" applyFill="1" applyBorder="1" applyAlignment="1">
      <alignment horizontal="left" vertical="center" wrapText="1"/>
    </xf>
    <xf numFmtId="0" fontId="77" fillId="0" borderId="0" xfId="0" applyFont="1" applyAlignment="1">
      <alignment horizontal="center" vertical="center"/>
    </xf>
    <xf numFmtId="0" fontId="40" fillId="3" borderId="0" xfId="2" applyFont="1" applyFill="1" applyBorder="1" applyAlignment="1">
      <alignment horizontal="center" vertical="center"/>
    </xf>
    <xf numFmtId="0" fontId="40" fillId="3" borderId="9" xfId="2" applyFont="1" applyFill="1" applyBorder="1" applyAlignment="1">
      <alignment horizontal="center" vertical="center"/>
    </xf>
    <xf numFmtId="0" fontId="40" fillId="3" borderId="7" xfId="2" applyFont="1" applyFill="1" applyBorder="1" applyAlignment="1">
      <alignment horizontal="center" vertical="center"/>
    </xf>
    <xf numFmtId="0" fontId="40" fillId="3" borderId="1" xfId="2" applyFont="1" applyFill="1" applyBorder="1" applyAlignment="1">
      <alignment horizontal="center" vertical="center"/>
    </xf>
    <xf numFmtId="0" fontId="13" fillId="3" borderId="0" xfId="2" applyFont="1" applyFill="1" applyBorder="1" applyAlignment="1">
      <alignment horizontal="center" vertical="center"/>
    </xf>
    <xf numFmtId="0" fontId="44" fillId="0" borderId="0" xfId="2" applyFont="1" applyFill="1" applyBorder="1" applyAlignment="1">
      <alignment horizontal="left" vertical="center" wrapText="1"/>
    </xf>
    <xf numFmtId="0" fontId="42" fillId="0" borderId="0" xfId="2" applyFont="1" applyFill="1" applyBorder="1" applyAlignment="1">
      <alignment horizontal="center" vertical="center" wrapText="1"/>
    </xf>
    <xf numFmtId="0" fontId="9" fillId="0" borderId="0" xfId="2" applyFont="1" applyFill="1" applyBorder="1" applyAlignment="1">
      <alignment horizontal="left" vertical="top"/>
    </xf>
    <xf numFmtId="0" fontId="43" fillId="0" borderId="0" xfId="2" applyFont="1" applyFill="1" applyBorder="1" applyAlignment="1">
      <alignment horizontal="left" vertical="center" wrapText="1"/>
    </xf>
    <xf numFmtId="0" fontId="40" fillId="3" borderId="18" xfId="2" applyFont="1" applyFill="1" applyBorder="1" applyAlignment="1">
      <alignment horizontal="center" vertical="center"/>
    </xf>
    <xf numFmtId="0" fontId="41" fillId="3" borderId="6" xfId="2" applyNumberFormat="1" applyFont="1" applyFill="1" applyBorder="1" applyAlignment="1">
      <alignment horizontal="left" vertical="center" wrapText="1"/>
    </xf>
    <xf numFmtId="0" fontId="88" fillId="3" borderId="0" xfId="2" applyFont="1" applyFill="1" applyBorder="1" applyAlignment="1">
      <alignment horizontal="center" vertical="center"/>
    </xf>
    <xf numFmtId="0" fontId="26" fillId="10" borderId="1" xfId="0" applyFont="1" applyFill="1" applyBorder="1" applyAlignment="1" applyProtection="1">
      <alignment horizontal="center"/>
      <protection locked="0"/>
    </xf>
    <xf numFmtId="0" fontId="42" fillId="6" borderId="1" xfId="2" applyFont="1" applyFill="1" applyBorder="1" applyAlignment="1" applyProtection="1">
      <alignment horizontal="center" vertical="center" wrapText="1"/>
      <protection locked="0"/>
    </xf>
    <xf numFmtId="0" fontId="42" fillId="10" borderId="1" xfId="2" applyFont="1" applyFill="1" applyBorder="1" applyAlignment="1" applyProtection="1">
      <alignment horizontal="center" vertical="center" wrapText="1"/>
      <protection locked="0"/>
    </xf>
    <xf numFmtId="0" fontId="43" fillId="6" borderId="1" xfId="2" applyFont="1" applyFill="1" applyBorder="1" applyAlignment="1" applyProtection="1">
      <alignment horizontal="left" vertical="center" wrapText="1"/>
      <protection locked="0"/>
    </xf>
    <xf numFmtId="0" fontId="42" fillId="10" borderId="6" xfId="2" applyFont="1" applyFill="1" applyBorder="1" applyAlignment="1" applyProtection="1">
      <alignment horizontal="center" vertical="center" wrapText="1"/>
      <protection locked="0"/>
    </xf>
    <xf numFmtId="16" fontId="42" fillId="10" borderId="1" xfId="2" applyNumberFormat="1" applyFont="1" applyFill="1" applyBorder="1" applyAlignment="1" applyProtection="1">
      <alignment horizontal="center" vertical="center" wrapText="1"/>
      <protection locked="0"/>
    </xf>
    <xf numFmtId="0" fontId="18" fillId="3" borderId="2" xfId="2" applyFont="1" applyFill="1" applyBorder="1" applyAlignment="1">
      <alignment vertical="center" wrapText="1"/>
    </xf>
    <xf numFmtId="0" fontId="11" fillId="2" borderId="1" xfId="2" applyFont="1" applyFill="1" applyBorder="1" applyAlignment="1">
      <alignment horizontal="center" vertical="center" wrapText="1"/>
    </xf>
    <xf numFmtId="0" fontId="11" fillId="2" borderId="2" xfId="2" applyFont="1" applyFill="1" applyBorder="1" applyAlignment="1">
      <alignment horizontal="center" vertical="center" wrapText="1"/>
    </xf>
    <xf numFmtId="0" fontId="18" fillId="3" borderId="1" xfId="2" applyFont="1" applyFill="1" applyBorder="1" applyAlignment="1">
      <alignment horizontal="center" vertical="center" wrapText="1"/>
    </xf>
    <xf numFmtId="0" fontId="53" fillId="0" borderId="0" xfId="0" applyFont="1" applyFill="1" applyAlignment="1">
      <alignment vertical="center" wrapText="1"/>
    </xf>
    <xf numFmtId="0" fontId="52" fillId="0" borderId="23" xfId="0" applyFont="1" applyFill="1" applyBorder="1" applyAlignment="1">
      <alignment vertical="center" wrapText="1"/>
    </xf>
    <xf numFmtId="0" fontId="90" fillId="0" borderId="0" xfId="0" applyFont="1" applyFill="1"/>
    <xf numFmtId="0" fontId="8" fillId="0" borderId="0" xfId="0" applyFont="1" applyBorder="1" applyAlignment="1">
      <alignment horizontal="center" vertical="center"/>
    </xf>
    <xf numFmtId="0" fontId="11" fillId="0" borderId="45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horizontal="center" vertical="center"/>
    </xf>
    <xf numFmtId="0" fontId="11" fillId="0" borderId="0" xfId="0" applyFont="1"/>
    <xf numFmtId="0" fontId="0" fillId="6" borderId="1" xfId="0" applyFill="1" applyBorder="1"/>
    <xf numFmtId="0" fontId="18" fillId="3" borderId="9" xfId="2" applyFont="1" applyFill="1" applyBorder="1" applyAlignment="1">
      <alignment horizontal="center" vertical="center" wrapText="1"/>
    </xf>
    <xf numFmtId="0" fontId="10" fillId="6" borderId="1" xfId="4" applyFont="1" applyFill="1" applyBorder="1" applyAlignment="1" applyProtection="1">
      <alignment horizontal="left" vertical="center" wrapText="1"/>
      <protection locked="0"/>
    </xf>
    <xf numFmtId="4" fontId="11" fillId="10" borderId="1" xfId="4" applyNumberFormat="1" applyFont="1" applyFill="1" applyBorder="1" applyAlignment="1" applyProtection="1">
      <alignment horizontal="center" vertical="center" wrapText="1"/>
      <protection locked="0"/>
    </xf>
    <xf numFmtId="4" fontId="10" fillId="10" borderId="1" xfId="4" applyNumberFormat="1" applyFont="1" applyFill="1" applyBorder="1" applyAlignment="1" applyProtection="1">
      <alignment horizontal="left" vertical="center" wrapText="1"/>
      <protection locked="0"/>
    </xf>
    <xf numFmtId="0" fontId="12" fillId="2" borderId="1" xfId="4" applyFont="1" applyFill="1" applyBorder="1" applyAlignment="1">
      <alignment horizontal="center" vertical="center" wrapText="1"/>
    </xf>
    <xf numFmtId="0" fontId="91" fillId="2" borderId="1" xfId="4" applyFont="1" applyFill="1" applyBorder="1" applyAlignment="1">
      <alignment horizontal="center" vertical="center" wrapText="1"/>
    </xf>
    <xf numFmtId="0" fontId="18" fillId="3" borderId="11" xfId="4" applyFont="1" applyFill="1" applyBorder="1" applyAlignment="1">
      <alignment horizontal="left" vertical="center" wrapText="1" indent="1"/>
    </xf>
    <xf numFmtId="0" fontId="18" fillId="3" borderId="11" xfId="4" applyFont="1" applyFill="1" applyBorder="1" applyAlignment="1">
      <alignment horizontal="left" vertical="center" wrapText="1" indent="2"/>
    </xf>
    <xf numFmtId="0" fontId="18" fillId="3" borderId="0" xfId="2" applyFont="1" applyFill="1" applyBorder="1" applyAlignment="1">
      <alignment horizontal="center" vertical="center" wrapText="1"/>
    </xf>
    <xf numFmtId="0" fontId="49" fillId="0" borderId="0" xfId="0" applyFont="1"/>
    <xf numFmtId="0" fontId="11" fillId="2" borderId="4" xfId="2" applyFont="1" applyFill="1" applyBorder="1" applyAlignment="1">
      <alignment vertical="center" wrapText="1"/>
    </xf>
    <xf numFmtId="0" fontId="11" fillId="2" borderId="8" xfId="2" applyFont="1" applyFill="1" applyBorder="1" applyAlignment="1">
      <alignment vertical="center" wrapText="1"/>
    </xf>
    <xf numFmtId="0" fontId="70" fillId="3" borderId="5" xfId="2" applyFont="1" applyFill="1" applyBorder="1" applyAlignment="1">
      <alignment horizontal="left" vertical="top"/>
    </xf>
    <xf numFmtId="0" fontId="93" fillId="10" borderId="1" xfId="2" applyFont="1" applyFill="1" applyBorder="1" applyAlignment="1" applyProtection="1">
      <alignment horizontal="right" vertical="center" wrapText="1"/>
      <protection locked="0"/>
    </xf>
    <xf numFmtId="0" fontId="93" fillId="10" borderId="7" xfId="2" applyFont="1" applyFill="1" applyBorder="1" applyAlignment="1" applyProtection="1">
      <alignment horizontal="right" vertical="center" wrapText="1"/>
      <protection locked="0"/>
    </xf>
    <xf numFmtId="0" fontId="10" fillId="0" borderId="0" xfId="2" applyFont="1" applyFill="1" applyBorder="1" applyAlignment="1">
      <alignment horizontal="left" vertical="center"/>
    </xf>
    <xf numFmtId="0" fontId="66" fillId="0" borderId="0" xfId="2" applyFont="1" applyFill="1" applyBorder="1" applyAlignment="1">
      <alignment horizontal="left" vertical="center"/>
    </xf>
    <xf numFmtId="0" fontId="92" fillId="0" borderId="0" xfId="0" applyFont="1"/>
    <xf numFmtId="0" fontId="66" fillId="0" borderId="0" xfId="2" applyFont="1" applyFill="1" applyBorder="1" applyAlignment="1">
      <alignment horizontal="center" vertical="center"/>
    </xf>
    <xf numFmtId="0" fontId="95" fillId="6" borderId="1" xfId="2" applyFont="1" applyFill="1" applyBorder="1" applyAlignment="1" applyProtection="1">
      <alignment horizontal="center" vertical="center" wrapText="1"/>
      <protection locked="0"/>
    </xf>
    <xf numFmtId="0" fontId="95" fillId="9" borderId="1" xfId="2" applyFont="1" applyFill="1" applyBorder="1" applyAlignment="1" applyProtection="1">
      <alignment horizontal="left" vertical="center" wrapText="1"/>
      <protection locked="0"/>
    </xf>
    <xf numFmtId="0" fontId="95" fillId="6" borderId="1" xfId="2" applyFont="1" applyFill="1" applyBorder="1" applyAlignment="1" applyProtection="1">
      <alignment horizontal="left" vertical="center" wrapText="1"/>
      <protection locked="0"/>
    </xf>
    <xf numFmtId="0" fontId="95" fillId="6" borderId="7" xfId="2" applyFont="1" applyFill="1" applyBorder="1" applyAlignment="1" applyProtection="1">
      <alignment horizontal="left" vertical="center" wrapText="1"/>
      <protection locked="0"/>
    </xf>
    <xf numFmtId="9" fontId="93" fillId="2" borderId="1" xfId="6" applyFont="1" applyFill="1" applyBorder="1" applyAlignment="1">
      <alignment horizontal="center" vertical="center" wrapText="1"/>
    </xf>
    <xf numFmtId="0" fontId="77" fillId="0" borderId="1" xfId="0" applyFont="1" applyBorder="1" applyAlignment="1">
      <alignment horizontal="right" vertical="center"/>
    </xf>
    <xf numFmtId="9" fontId="77" fillId="0" borderId="1" xfId="0" applyNumberFormat="1" applyFont="1" applyBorder="1" applyAlignment="1">
      <alignment horizontal="center" vertical="center"/>
    </xf>
    <xf numFmtId="0" fontId="27" fillId="0" borderId="1" xfId="2" applyFont="1" applyFill="1" applyBorder="1" applyAlignment="1">
      <alignment horizontal="center" vertical="center" wrapText="1"/>
    </xf>
    <xf numFmtId="0" fontId="7" fillId="6" borderId="1" xfId="0" applyFont="1" applyFill="1" applyBorder="1" applyAlignment="1" applyProtection="1">
      <alignment horizontal="center" vertical="center"/>
      <protection locked="0"/>
    </xf>
    <xf numFmtId="0" fontId="14" fillId="2" borderId="0" xfId="2" applyFont="1" applyFill="1" applyBorder="1" applyAlignment="1">
      <alignment horizontal="left" vertical="center"/>
    </xf>
    <xf numFmtId="0" fontId="14" fillId="2" borderId="0" xfId="2" applyFont="1" applyFill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 wrapText="1"/>
    </xf>
    <xf numFmtId="0" fontId="11" fillId="2" borderId="2" xfId="2" applyFont="1" applyFill="1" applyBorder="1" applyAlignment="1">
      <alignment horizontal="center" vertical="center" wrapText="1"/>
    </xf>
    <xf numFmtId="0" fontId="18" fillId="3" borderId="2" xfId="2" applyFont="1" applyFill="1" applyBorder="1" applyAlignment="1">
      <alignment horizontal="center" vertical="center" wrapText="1"/>
    </xf>
    <xf numFmtId="0" fontId="38" fillId="3" borderId="42" xfId="2" applyFont="1" applyFill="1" applyBorder="1" applyAlignment="1">
      <alignment horizontal="left" vertical="center" wrapText="1"/>
    </xf>
    <xf numFmtId="0" fontId="41" fillId="3" borderId="42" xfId="2" applyFont="1" applyFill="1" applyBorder="1" applyAlignment="1">
      <alignment horizontal="center" vertical="center" wrapText="1"/>
    </xf>
    <xf numFmtId="0" fontId="40" fillId="3" borderId="17" xfId="2" applyFont="1" applyFill="1" applyBorder="1" applyAlignment="1">
      <alignment horizontal="center" vertical="center"/>
    </xf>
    <xf numFmtId="164" fontId="46" fillId="3" borderId="46" xfId="2" applyNumberFormat="1" applyFont="1" applyFill="1" applyBorder="1" applyAlignment="1">
      <alignment horizontal="left" vertical="center" wrapText="1"/>
    </xf>
    <xf numFmtId="0" fontId="18" fillId="6" borderId="1" xfId="2" applyFont="1" applyFill="1" applyBorder="1" applyAlignment="1" applyProtection="1">
      <alignment horizontal="center" vertical="center" wrapText="1"/>
      <protection locked="0"/>
    </xf>
    <xf numFmtId="0" fontId="12" fillId="2" borderId="2" xfId="2" applyFont="1" applyFill="1" applyBorder="1" applyAlignment="1">
      <alignment horizontal="center" vertical="center" wrapText="1"/>
    </xf>
    <xf numFmtId="0" fontId="12" fillId="2" borderId="2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>
      <alignment vertical="center" wrapText="1"/>
    </xf>
    <xf numFmtId="0" fontId="11" fillId="2" borderId="2" xfId="2" applyFont="1" applyFill="1" applyBorder="1" applyAlignment="1">
      <alignment vertical="center" wrapText="1"/>
    </xf>
    <xf numFmtId="0" fontId="83" fillId="5" borderId="1" xfId="2" applyFont="1" applyFill="1" applyBorder="1" applyAlignment="1">
      <alignment horizontal="center" vertical="center" wrapText="1"/>
    </xf>
    <xf numFmtId="0" fontId="12" fillId="2" borderId="9" xfId="2" applyFont="1" applyFill="1" applyBorder="1" applyAlignment="1">
      <alignment horizontal="center" vertical="center" wrapText="1"/>
    </xf>
    <xf numFmtId="0" fontId="6" fillId="0" borderId="13" xfId="8" applyFont="1" applyFill="1" applyBorder="1" applyAlignment="1" applyProtection="1">
      <alignment horizontal="center" vertical="center" wrapText="1"/>
    </xf>
    <xf numFmtId="0" fontId="6" fillId="0" borderId="6" xfId="8" applyFont="1" applyFill="1" applyBorder="1" applyAlignment="1" applyProtection="1">
      <alignment horizontal="center" vertical="center" wrapText="1"/>
    </xf>
    <xf numFmtId="0" fontId="26" fillId="0" borderId="13" xfId="0" applyFont="1" applyFill="1" applyBorder="1" applyAlignment="1" applyProtection="1">
      <alignment horizontal="center" vertical="center" wrapText="1"/>
    </xf>
    <xf numFmtId="0" fontId="26" fillId="0" borderId="6" xfId="0" applyFont="1" applyFill="1" applyBorder="1" applyAlignment="1" applyProtection="1">
      <alignment horizontal="center" vertical="center" wrapText="1"/>
    </xf>
    <xf numFmtId="0" fontId="11" fillId="5" borderId="7" xfId="2" applyFont="1" applyFill="1" applyBorder="1" applyAlignment="1">
      <alignment horizontal="center" vertical="center" wrapText="1"/>
    </xf>
    <xf numFmtId="0" fontId="24" fillId="0" borderId="1" xfId="0" applyFont="1" applyBorder="1" applyAlignment="1" applyProtection="1">
      <alignment horizontal="center" wrapText="1"/>
      <protection locked="0"/>
    </xf>
    <xf numFmtId="0" fontId="11" fillId="6" borderId="1" xfId="2" applyFont="1" applyFill="1" applyBorder="1" applyAlignment="1" applyProtection="1">
      <alignment vertical="center" wrapText="1"/>
      <protection locked="0"/>
    </xf>
    <xf numFmtId="0" fontId="83" fillId="10" borderId="1" xfId="2" applyFont="1" applyFill="1" applyBorder="1" applyAlignment="1" applyProtection="1">
      <alignment horizontal="center" vertical="center" wrapText="1"/>
      <protection locked="0"/>
    </xf>
    <xf numFmtId="0" fontId="11" fillId="6" borderId="2" xfId="2" applyFont="1" applyFill="1" applyBorder="1" applyAlignment="1" applyProtection="1">
      <alignment vertical="center" wrapText="1"/>
      <protection locked="0"/>
    </xf>
    <xf numFmtId="0" fontId="26" fillId="0" borderId="18" xfId="0" applyFont="1" applyFill="1" applyBorder="1" applyAlignment="1" applyProtection="1">
      <alignment vertical="center" wrapText="1"/>
    </xf>
    <xf numFmtId="0" fontId="26" fillId="10" borderId="2" xfId="0" applyFont="1" applyFill="1" applyBorder="1" applyAlignment="1" applyProtection="1">
      <alignment horizontal="center" vertical="center" wrapText="1"/>
      <protection locked="0"/>
    </xf>
    <xf numFmtId="0" fontId="26" fillId="10" borderId="3" xfId="0" applyFont="1" applyFill="1" applyBorder="1" applyAlignment="1" applyProtection="1">
      <alignment horizontal="center" vertical="center" wrapTex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0" fontId="6" fillId="0" borderId="18" xfId="8" applyFont="1" applyFill="1" applyBorder="1" applyAlignment="1" applyProtection="1">
      <alignment vertical="center" wrapText="1"/>
    </xf>
    <xf numFmtId="0" fontId="6" fillId="10" borderId="2" xfId="8" applyFont="1" applyFill="1" applyBorder="1" applyAlignment="1" applyProtection="1">
      <alignment horizontal="center" vertical="center" wrapText="1"/>
      <protection locked="0"/>
    </xf>
    <xf numFmtId="0" fontId="6" fillId="10" borderId="3" xfId="8" applyFont="1" applyFill="1" applyBorder="1" applyAlignment="1" applyProtection="1">
      <alignment horizontal="center" vertical="center" wrapText="1"/>
      <protection locked="0"/>
    </xf>
    <xf numFmtId="0" fontId="18" fillId="3" borderId="16" xfId="2" applyFont="1" applyFill="1" applyBorder="1" applyAlignment="1">
      <alignment horizontal="center" vertical="center" wrapText="1"/>
    </xf>
    <xf numFmtId="0" fontId="18" fillId="3" borderId="7" xfId="2" applyFont="1" applyFill="1" applyBorder="1" applyAlignment="1">
      <alignment horizontal="left" vertical="center"/>
    </xf>
    <xf numFmtId="0" fontId="11" fillId="6" borderId="7" xfId="2" applyFont="1" applyFill="1" applyBorder="1" applyAlignment="1" applyProtection="1">
      <alignment horizontal="center" vertical="center" wrapText="1"/>
      <protection locked="0"/>
    </xf>
    <xf numFmtId="0" fontId="11" fillId="10" borderId="7" xfId="2" applyFont="1" applyFill="1" applyBorder="1" applyAlignment="1" applyProtection="1">
      <alignment horizontal="center" vertical="center" wrapText="1"/>
      <protection locked="0"/>
    </xf>
    <xf numFmtId="0" fontId="27" fillId="0" borderId="9" xfId="0" applyFont="1" applyFill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7" fillId="0" borderId="9" xfId="0" applyFont="1" applyFill="1" applyBorder="1" applyAlignment="1" applyProtection="1">
      <alignment horizontal="center" vertical="center" wrapText="1"/>
    </xf>
    <xf numFmtId="0" fontId="6" fillId="0" borderId="9" xfId="0" applyFont="1" applyFill="1" applyBorder="1" applyAlignment="1" applyProtection="1">
      <alignment horizontal="center" vertical="center" wrapText="1"/>
    </xf>
    <xf numFmtId="0" fontId="38" fillId="0" borderId="1" xfId="0" applyFont="1" applyFill="1" applyBorder="1" applyAlignment="1" applyProtection="1">
      <alignment horizontal="left" vertical="center" wrapText="1"/>
    </xf>
    <xf numFmtId="0" fontId="26" fillId="0" borderId="4" xfId="0" applyFont="1" applyFill="1" applyBorder="1" applyAlignment="1" applyProtection="1">
      <alignment horizontal="center" vertical="center" wrapText="1"/>
    </xf>
    <xf numFmtId="0" fontId="24" fillId="10" borderId="2" xfId="0" applyFont="1" applyFill="1" applyBorder="1" applyAlignment="1" applyProtection="1">
      <alignment horizontal="center" vertical="center" wrapText="1"/>
      <protection locked="0"/>
    </xf>
    <xf numFmtId="0" fontId="26" fillId="0" borderId="2" xfId="0" applyFont="1" applyFill="1" applyBorder="1" applyAlignment="1" applyProtection="1">
      <alignment horizontal="center" vertical="center" wrapText="1"/>
    </xf>
    <xf numFmtId="0" fontId="83" fillId="0" borderId="2" xfId="0" applyFont="1" applyFill="1" applyBorder="1" applyAlignment="1" applyProtection="1">
      <alignment horizontal="left" vertical="center" wrapText="1"/>
    </xf>
    <xf numFmtId="0" fontId="26" fillId="0" borderId="2" xfId="0" applyFont="1" applyBorder="1" applyAlignment="1" applyProtection="1">
      <alignment horizontal="center" vertical="center" wrapText="1"/>
    </xf>
    <xf numFmtId="0" fontId="38" fillId="0" borderId="2" xfId="0" applyFont="1" applyFill="1" applyBorder="1" applyAlignment="1" applyProtection="1">
      <alignment horizontal="left" vertical="center" wrapText="1"/>
    </xf>
    <xf numFmtId="0" fontId="7" fillId="10" borderId="2" xfId="8" applyFont="1" applyFill="1" applyBorder="1" applyAlignment="1" applyProtection="1">
      <alignment horizontal="center" vertical="center" wrapText="1"/>
      <protection locked="0"/>
    </xf>
    <xf numFmtId="0" fontId="6" fillId="0" borderId="2" xfId="8" applyFont="1" applyFill="1" applyBorder="1" applyAlignment="1" applyProtection="1">
      <alignment horizontal="center" vertical="center" wrapText="1"/>
    </xf>
    <xf numFmtId="0" fontId="83" fillId="0" borderId="2" xfId="8" applyFont="1" applyFill="1" applyBorder="1" applyAlignment="1" applyProtection="1">
      <alignment horizontal="left" vertical="center" wrapText="1"/>
    </xf>
    <xf numFmtId="0" fontId="6" fillId="0" borderId="2" xfId="8" applyFont="1" applyBorder="1" applyAlignment="1" applyProtection="1">
      <alignment horizontal="center" vertical="center" wrapText="1"/>
    </xf>
    <xf numFmtId="0" fontId="6" fillId="0" borderId="13" xfId="8" applyFont="1" applyBorder="1" applyAlignment="1" applyProtection="1">
      <alignment horizontal="center" vertical="center" wrapText="1"/>
    </xf>
    <xf numFmtId="0" fontId="26" fillId="0" borderId="13" xfId="0" applyFont="1" applyBorder="1" applyAlignment="1" applyProtection="1">
      <alignment horizontal="center" vertical="center" wrapText="1"/>
    </xf>
    <xf numFmtId="0" fontId="79" fillId="0" borderId="0" xfId="0" applyFont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22" fillId="0" borderId="0" xfId="0" applyFont="1" applyAlignment="1" applyProtection="1">
      <alignment horizontal="left" vertical="center"/>
    </xf>
    <xf numFmtId="0" fontId="1" fillId="0" borderId="0" xfId="0" applyFont="1" applyAlignment="1">
      <alignment horizontal="left" vertical="center"/>
    </xf>
    <xf numFmtId="0" fontId="96" fillId="12" borderId="5" xfId="0" applyFont="1" applyFill="1" applyBorder="1" applyAlignment="1" applyProtection="1">
      <alignment vertical="center" wrapText="1"/>
    </xf>
    <xf numFmtId="0" fontId="26" fillId="0" borderId="1" xfId="0" applyFont="1" applyFill="1" applyBorder="1" applyAlignment="1" applyProtection="1">
      <alignment horizontal="left" vertical="center" wrapText="1"/>
    </xf>
    <xf numFmtId="0" fontId="26" fillId="0" borderId="4" xfId="0" applyFont="1" applyBorder="1" applyAlignment="1" applyProtection="1">
      <alignment horizontal="left" vertical="center" wrapText="1"/>
    </xf>
    <xf numFmtId="0" fontId="1" fillId="6" borderId="1" xfId="8" applyFont="1" applyFill="1" applyBorder="1" applyAlignment="1" applyProtection="1">
      <alignment vertical="center" wrapText="1"/>
      <protection locked="0"/>
    </xf>
    <xf numFmtId="0" fontId="68" fillId="0" borderId="0" xfId="0" applyFont="1" applyFill="1" applyBorder="1" applyAlignment="1">
      <alignment horizontal="center" vertical="center" wrapText="1"/>
    </xf>
    <xf numFmtId="0" fontId="68" fillId="0" borderId="0" xfId="0" applyFont="1" applyFill="1" applyBorder="1" applyAlignment="1">
      <alignment horizontal="left" vertical="center"/>
    </xf>
    <xf numFmtId="0" fontId="1" fillId="11" borderId="1" xfId="0" applyFont="1" applyFill="1" applyBorder="1" applyAlignment="1" applyProtection="1">
      <alignment horizontal="center" vertical="center"/>
    </xf>
    <xf numFmtId="0" fontId="1" fillId="10" borderId="1" xfId="0" applyFont="1" applyFill="1" applyBorder="1" applyAlignment="1" applyProtection="1">
      <alignment horizontal="center" wrapText="1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>
      <alignment horizontal="center"/>
    </xf>
    <xf numFmtId="0" fontId="68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68" fillId="0" borderId="0" xfId="0" applyFont="1" applyFill="1" applyBorder="1" applyAlignment="1">
      <alignment vertical="center"/>
    </xf>
    <xf numFmtId="0" fontId="68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 applyProtection="1">
      <alignment vertical="center" wrapText="1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68" fillId="0" borderId="0" xfId="0" applyFont="1" applyFill="1" applyBorder="1" applyAlignment="1">
      <alignment horizontal="left" vertical="center"/>
    </xf>
    <xf numFmtId="0" fontId="66" fillId="2" borderId="0" xfId="2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left" vertical="center"/>
    </xf>
    <xf numFmtId="0" fontId="0" fillId="0" borderId="0" xfId="0" applyAlignment="1" applyProtection="1">
      <alignment vertical="center"/>
    </xf>
    <xf numFmtId="0" fontId="26" fillId="6" borderId="1" xfId="0" applyFont="1" applyFill="1" applyBorder="1" applyAlignment="1" applyProtection="1">
      <alignment horizontal="center"/>
      <protection locked="0"/>
    </xf>
    <xf numFmtId="0" fontId="26" fillId="0" borderId="1" xfId="0" applyFont="1" applyBorder="1" applyAlignment="1">
      <alignment horizontal="center" wrapText="1"/>
    </xf>
    <xf numFmtId="0" fontId="1" fillId="0" borderId="0" xfId="0" applyFont="1" applyFill="1" applyBorder="1" applyAlignment="1">
      <alignment horizontal="left" vertical="center"/>
    </xf>
    <xf numFmtId="0" fontId="1" fillId="7" borderId="0" xfId="0" applyFont="1" applyFill="1" applyBorder="1" applyAlignment="1">
      <alignment vertical="center" wrapText="1"/>
    </xf>
    <xf numFmtId="0" fontId="32" fillId="0" borderId="0" xfId="0" applyFont="1"/>
    <xf numFmtId="0" fontId="8" fillId="0" borderId="0" xfId="0" applyFont="1" applyAlignment="1">
      <alignment horizontal="justify"/>
    </xf>
    <xf numFmtId="0" fontId="99" fillId="0" borderId="0" xfId="0" applyFont="1" applyAlignment="1">
      <alignment horizontal="left" indent="4"/>
    </xf>
    <xf numFmtId="0" fontId="26" fillId="0" borderId="1" xfId="0" applyFont="1" applyBorder="1" applyAlignment="1" applyProtection="1">
      <alignment vertical="center" wrapText="1"/>
    </xf>
    <xf numFmtId="0" fontId="26" fillId="10" borderId="1" xfId="0" applyFont="1" applyFill="1" applyBorder="1" applyAlignment="1" applyProtection="1">
      <alignment horizontal="center"/>
      <protection locked="0"/>
    </xf>
    <xf numFmtId="0" fontId="1" fillId="6" borderId="1" xfId="0" applyFont="1" applyFill="1" applyBorder="1" applyAlignment="1" applyProtection="1">
      <alignment horizontal="center" wrapText="1"/>
      <protection locked="0"/>
    </xf>
    <xf numFmtId="0" fontId="26" fillId="0" borderId="1" xfId="0" applyFont="1" applyFill="1" applyBorder="1" applyAlignment="1" applyProtection="1"/>
    <xf numFmtId="0" fontId="32" fillId="0" borderId="0" xfId="0" applyFont="1" applyAlignment="1" applyProtection="1">
      <alignment vertical="center"/>
    </xf>
    <xf numFmtId="0" fontId="0" fillId="0" borderId="0" xfId="0" applyProtection="1"/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8" fillId="7" borderId="0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center" wrapText="1"/>
    </xf>
    <xf numFmtId="0" fontId="68" fillId="0" borderId="0" xfId="0" applyFont="1" applyFill="1" applyBorder="1" applyAlignment="1" applyProtection="1">
      <alignment horizontal="center"/>
    </xf>
    <xf numFmtId="0" fontId="70" fillId="0" borderId="0" xfId="0" applyFont="1" applyAlignment="1" applyProtection="1">
      <alignment horizontal="center"/>
    </xf>
    <xf numFmtId="0" fontId="2" fillId="7" borderId="0" xfId="0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31" fillId="0" borderId="0" xfId="0" applyFont="1" applyBorder="1" applyAlignment="1" applyProtection="1">
      <alignment horizontal="center"/>
    </xf>
    <xf numFmtId="0" fontId="33" fillId="0" borderId="0" xfId="0" applyFont="1" applyAlignment="1" applyProtection="1">
      <alignment horizontal="center"/>
    </xf>
    <xf numFmtId="0" fontId="31" fillId="0" borderId="0" xfId="0" applyFont="1" applyBorder="1" applyAlignment="1" applyProtection="1"/>
    <xf numFmtId="0" fontId="26" fillId="0" borderId="1" xfId="0" applyFont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 vertical="center" wrapText="1"/>
    </xf>
    <xf numFmtId="0" fontId="24" fillId="0" borderId="0" xfId="0" applyFont="1" applyProtection="1"/>
    <xf numFmtId="0" fontId="26" fillId="0" borderId="0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 wrapText="1"/>
    </xf>
    <xf numFmtId="0" fontId="24" fillId="0" borderId="0" xfId="0" applyFont="1" applyBorder="1" applyAlignment="1" applyProtection="1">
      <alignment horizontal="center"/>
    </xf>
    <xf numFmtId="0" fontId="32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2" fillId="0" borderId="0" xfId="1" applyFont="1" applyAlignment="1" applyProtection="1">
      <alignment horizontal="center" wrapText="1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indent="15"/>
    </xf>
    <xf numFmtId="0" fontId="49" fillId="0" borderId="0" xfId="0" applyFont="1" applyAlignment="1" applyProtection="1">
      <alignment horizontal="left"/>
    </xf>
    <xf numFmtId="0" fontId="29" fillId="0" borderId="0" xfId="0" applyFont="1" applyProtection="1"/>
    <xf numFmtId="0" fontId="30" fillId="0" borderId="0" xfId="0" applyFont="1" applyAlignment="1" applyProtection="1">
      <alignment horizontal="left" indent="5"/>
    </xf>
    <xf numFmtId="0" fontId="26" fillId="6" borderId="1" xfId="0" applyFont="1" applyFill="1" applyBorder="1" applyAlignment="1" applyProtection="1">
      <alignment horizontal="center" vertical="center"/>
      <protection locked="0"/>
    </xf>
    <xf numFmtId="0" fontId="26" fillId="6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</xf>
    <xf numFmtId="0" fontId="24" fillId="12" borderId="1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77" fillId="0" borderId="0" xfId="0" applyFont="1" applyProtection="1"/>
    <xf numFmtId="0" fontId="3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44" fillId="9" borderId="19" xfId="2" applyFont="1" applyFill="1" applyBorder="1" applyAlignment="1" applyProtection="1">
      <alignment horizontal="left" vertical="center" wrapText="1" indent="2"/>
      <protection locked="0"/>
    </xf>
    <xf numFmtId="0" fontId="0" fillId="0" borderId="0" xfId="0" applyProtection="1"/>
    <xf numFmtId="0" fontId="1" fillId="0" borderId="0" xfId="0" applyFont="1" applyAlignment="1" applyProtection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</xf>
    <xf numFmtId="0" fontId="10" fillId="6" borderId="7" xfId="4" applyFont="1" applyFill="1" applyBorder="1" applyAlignment="1" applyProtection="1">
      <alignment horizontal="left" vertical="center" wrapText="1"/>
      <protection locked="0"/>
    </xf>
    <xf numFmtId="0" fontId="0" fillId="0" borderId="0" xfId="0" applyProtection="1"/>
    <xf numFmtId="0" fontId="1" fillId="0" borderId="0" xfId="0" applyFont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</xf>
    <xf numFmtId="0" fontId="23" fillId="0" borderId="0" xfId="0" applyFont="1" applyProtection="1"/>
    <xf numFmtId="0" fontId="10" fillId="3" borderId="0" xfId="2" applyFont="1" applyFill="1" applyBorder="1" applyAlignment="1" applyProtection="1">
      <alignment horizontal="left" vertical="center"/>
    </xf>
    <xf numFmtId="0" fontId="1" fillId="0" borderId="0" xfId="8" applyFont="1" applyProtection="1"/>
    <xf numFmtId="0" fontId="1" fillId="0" borderId="0" xfId="8" applyFont="1" applyAlignment="1" applyProtection="1">
      <alignment horizontal="left"/>
    </xf>
    <xf numFmtId="0" fontId="49" fillId="5" borderId="0" xfId="0" applyFont="1" applyFill="1" applyProtection="1"/>
    <xf numFmtId="0" fontId="1" fillId="0" borderId="0" xfId="0" applyFont="1" applyAlignment="1" applyProtection="1">
      <alignment vertical="center"/>
    </xf>
    <xf numFmtId="0" fontId="22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center"/>
    </xf>
    <xf numFmtId="0" fontId="76" fillId="0" borderId="0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76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75" fillId="3" borderId="0" xfId="2" applyFont="1" applyFill="1" applyBorder="1" applyAlignment="1" applyProtection="1">
      <alignment horizontal="left" vertical="top"/>
    </xf>
    <xf numFmtId="0" fontId="73" fillId="3" borderId="0" xfId="2" applyFont="1" applyFill="1" applyBorder="1" applyAlignment="1" applyProtection="1">
      <alignment horizontal="left" vertical="top"/>
    </xf>
    <xf numFmtId="0" fontId="5" fillId="0" borderId="0" xfId="0" applyFont="1" applyAlignment="1" applyProtection="1">
      <alignment vertical="center"/>
    </xf>
    <xf numFmtId="0" fontId="7" fillId="0" borderId="0" xfId="0" applyFont="1" applyProtection="1"/>
    <xf numFmtId="0" fontId="25" fillId="0" borderId="0" xfId="0" applyFont="1" applyProtection="1"/>
    <xf numFmtId="0" fontId="66" fillId="2" borderId="4" xfId="2" applyFont="1" applyFill="1" applyBorder="1" applyAlignment="1" applyProtection="1">
      <alignment horizontal="center" vertical="center" wrapText="1"/>
    </xf>
    <xf numFmtId="0" fontId="18" fillId="0" borderId="5" xfId="2" applyFont="1" applyFill="1" applyBorder="1" applyAlignment="1" applyProtection="1">
      <alignment horizontal="left" vertical="center" wrapText="1" indent="2"/>
    </xf>
    <xf numFmtId="0" fontId="18" fillId="0" borderId="6" xfId="2" applyFont="1" applyFill="1" applyBorder="1" applyAlignment="1" applyProtection="1">
      <alignment horizontal="center" vertical="center" wrapText="1"/>
    </xf>
    <xf numFmtId="0" fontId="93" fillId="0" borderId="1" xfId="2" applyFont="1" applyFill="1" applyBorder="1" applyAlignment="1" applyProtection="1">
      <alignment horizontal="right" vertical="center" wrapText="1"/>
    </xf>
    <xf numFmtId="9" fontId="93" fillId="2" borderId="1" xfId="6" applyFont="1" applyFill="1" applyBorder="1" applyAlignment="1" applyProtection="1">
      <alignment horizontal="center" vertical="center" wrapText="1"/>
    </xf>
    <xf numFmtId="0" fontId="66" fillId="2" borderId="5" xfId="2" applyFont="1" applyFill="1" applyBorder="1" applyAlignment="1" applyProtection="1">
      <alignment horizontal="center" vertical="center" wrapText="1"/>
    </xf>
    <xf numFmtId="0" fontId="18" fillId="0" borderId="5" xfId="2" applyFont="1" applyFill="1" applyBorder="1" applyAlignment="1" applyProtection="1">
      <alignment horizontal="left" vertical="center" wrapText="1"/>
    </xf>
    <xf numFmtId="0" fontId="18" fillId="0" borderId="6" xfId="2" applyFont="1" applyFill="1" applyBorder="1" applyAlignment="1" applyProtection="1">
      <alignment horizontal="left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6" xfId="2" applyFont="1" applyFill="1" applyBorder="1" applyAlignment="1" applyProtection="1">
      <alignment vertical="center" wrapText="1"/>
    </xf>
    <xf numFmtId="0" fontId="94" fillId="0" borderId="1" xfId="2" applyFont="1" applyFill="1" applyBorder="1" applyAlignment="1" applyProtection="1">
      <alignment horizontal="right" vertical="center" wrapText="1"/>
    </xf>
    <xf numFmtId="9" fontId="94" fillId="2" borderId="1" xfId="6" applyFont="1" applyFill="1" applyBorder="1" applyAlignment="1" applyProtection="1">
      <alignment horizontal="center" vertical="center" wrapText="1"/>
    </xf>
    <xf numFmtId="0" fontId="46" fillId="0" borderId="5" xfId="2" applyFont="1" applyFill="1" applyBorder="1" applyAlignment="1" applyProtection="1">
      <alignment horizontal="left" vertical="center" wrapText="1" indent="2"/>
    </xf>
    <xf numFmtId="0" fontId="1" fillId="0" borderId="0" xfId="0" applyFont="1" applyFill="1" applyBorder="1" applyAlignment="1" applyProtection="1">
      <alignment horizontal="center" vertical="center" wrapText="1"/>
    </xf>
    <xf numFmtId="0" fontId="68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21" fillId="2" borderId="0" xfId="2" applyFont="1" applyFill="1" applyBorder="1" applyAlignment="1">
      <alignment horizontal="right" vertical="center"/>
    </xf>
    <xf numFmtId="0" fontId="71" fillId="2" borderId="0" xfId="2" applyFont="1" applyFill="1" applyBorder="1" applyAlignment="1">
      <alignment horizontal="right" vertical="center"/>
    </xf>
    <xf numFmtId="0" fontId="1" fillId="0" borderId="0" xfId="0" applyFont="1" applyAlignment="1" applyProtection="1">
      <alignment horizontal="right"/>
    </xf>
    <xf numFmtId="0" fontId="1" fillId="0" borderId="0" xfId="8" applyFont="1" applyProtection="1">
      <protection locked="0"/>
    </xf>
    <xf numFmtId="0" fontId="51" fillId="0" borderId="0" xfId="0" applyFont="1" applyAlignment="1">
      <alignment vertical="center"/>
    </xf>
    <xf numFmtId="0" fontId="95" fillId="9" borderId="7" xfId="2" applyFont="1" applyFill="1" applyBorder="1" applyAlignment="1" applyProtection="1">
      <alignment horizontal="left" vertical="center" wrapText="1" indent="2"/>
      <protection locked="0"/>
    </xf>
    <xf numFmtId="0" fontId="95" fillId="9" borderId="1" xfId="2" applyFont="1" applyFill="1" applyBorder="1" applyAlignment="1" applyProtection="1">
      <alignment horizontal="left" vertical="center" wrapText="1" indent="2"/>
      <protection locked="0"/>
    </xf>
    <xf numFmtId="0" fontId="1" fillId="10" borderId="4" xfId="0" applyFont="1" applyFill="1" applyBorder="1" applyAlignment="1" applyProtection="1">
      <alignment horizontal="center" vertical="center" wrapText="1"/>
      <protection locked="0"/>
    </xf>
    <xf numFmtId="0" fontId="1" fillId="10" borderId="6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Border="1" applyAlignment="1">
      <alignment horizontal="center"/>
    </xf>
    <xf numFmtId="0" fontId="32" fillId="0" borderId="1" xfId="0" applyFont="1" applyBorder="1" applyAlignment="1">
      <alignment horizontal="center" wrapText="1"/>
    </xf>
    <xf numFmtId="0" fontId="8" fillId="0" borderId="1" xfId="0" applyFont="1" applyBorder="1" applyAlignment="1">
      <alignment wrapText="1"/>
    </xf>
    <xf numFmtId="0" fontId="36" fillId="0" borderId="1" xfId="0" applyFont="1" applyBorder="1" applyAlignment="1">
      <alignment wrapText="1"/>
    </xf>
    <xf numFmtId="0" fontId="8" fillId="8" borderId="1" xfId="0" applyFont="1" applyFill="1" applyBorder="1" applyAlignment="1" applyProtection="1">
      <alignment horizontal="center" wrapText="1"/>
      <protection locked="0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wrapText="1"/>
    </xf>
    <xf numFmtId="0" fontId="8" fillId="0" borderId="6" xfId="0" applyFont="1" applyBorder="1" applyAlignment="1">
      <alignment horizontal="left" wrapText="1"/>
    </xf>
    <xf numFmtId="0" fontId="8" fillId="0" borderId="1" xfId="0" applyFont="1" applyBorder="1" applyAlignment="1">
      <alignment horizontal="left" wrapText="1"/>
    </xf>
    <xf numFmtId="0" fontId="22" fillId="0" borderId="0" xfId="0" applyFont="1" applyAlignment="1" applyProtection="1">
      <alignment horizontal="center" vertical="center"/>
    </xf>
    <xf numFmtId="0" fontId="8" fillId="0" borderId="8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wrapText="1"/>
    </xf>
    <xf numFmtId="0" fontId="8" fillId="0" borderId="16" xfId="0" applyFont="1" applyBorder="1" applyAlignment="1">
      <alignment horizontal="left" wrapText="1"/>
    </xf>
    <xf numFmtId="0" fontId="8" fillId="0" borderId="8" xfId="0" applyFont="1" applyBorder="1" applyAlignment="1">
      <alignment horizontal="left" wrapText="1"/>
    </xf>
    <xf numFmtId="0" fontId="8" fillId="0" borderId="14" xfId="0" applyFont="1" applyBorder="1" applyAlignment="1">
      <alignment horizontal="left" wrapText="1"/>
    </xf>
    <xf numFmtId="0" fontId="8" fillId="0" borderId="3" xfId="0" applyFont="1" applyBorder="1" applyAlignment="1">
      <alignment horizontal="left" wrapText="1"/>
    </xf>
    <xf numFmtId="0" fontId="8" fillId="0" borderId="13" xfId="0" applyFont="1" applyBorder="1" applyAlignment="1">
      <alignment horizontal="left" wrapText="1"/>
    </xf>
    <xf numFmtId="0" fontId="8" fillId="0" borderId="17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24" fillId="0" borderId="2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left"/>
      <protection locked="0"/>
    </xf>
    <xf numFmtId="0" fontId="68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4" fillId="0" borderId="4" xfId="0" applyFont="1" applyBorder="1" applyAlignment="1">
      <alignment horizontal="center" wrapText="1"/>
    </xf>
    <xf numFmtId="0" fontId="24" fillId="0" borderId="5" xfId="0" applyFont="1" applyBorder="1" applyAlignment="1">
      <alignment horizontal="center" wrapText="1"/>
    </xf>
    <xf numFmtId="0" fontId="24" fillId="0" borderId="6" xfId="0" applyFont="1" applyBorder="1" applyAlignment="1">
      <alignment horizontal="center" wrapText="1"/>
    </xf>
    <xf numFmtId="0" fontId="24" fillId="0" borderId="1" xfId="0" applyFont="1" applyBorder="1" applyAlignment="1">
      <alignment horizontal="center" wrapText="1"/>
    </xf>
    <xf numFmtId="0" fontId="26" fillId="0" borderId="4" xfId="0" applyFont="1" applyBorder="1" applyAlignment="1" applyProtection="1">
      <alignment horizontal="center" vertical="center" wrapText="1"/>
    </xf>
    <xf numFmtId="0" fontId="26" fillId="0" borderId="6" xfId="0" applyFont="1" applyBorder="1" applyAlignment="1" applyProtection="1">
      <alignment horizontal="center" vertical="center" wrapText="1"/>
    </xf>
    <xf numFmtId="0" fontId="26" fillId="0" borderId="4" xfId="0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center" vertical="center"/>
    </xf>
    <xf numFmtId="0" fontId="26" fillId="0" borderId="4" xfId="0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26" fillId="0" borderId="5" xfId="0" applyFont="1" applyBorder="1" applyAlignment="1" applyProtection="1">
      <alignment horizontal="center" vertical="center"/>
    </xf>
    <xf numFmtId="0" fontId="0" fillId="0" borderId="0" xfId="0" applyProtection="1"/>
    <xf numFmtId="0" fontId="1" fillId="0" borderId="0" xfId="0" applyFont="1" applyAlignment="1" applyProtection="1">
      <alignment vertical="center"/>
    </xf>
    <xf numFmtId="0" fontId="22" fillId="0" borderId="0" xfId="0" applyFont="1" applyAlignment="1" applyProtection="1">
      <alignment horizontal="left" vertical="center" indent="7"/>
    </xf>
    <xf numFmtId="0" fontId="24" fillId="2" borderId="2" xfId="0" applyFont="1" applyFill="1" applyBorder="1" applyAlignment="1" applyProtection="1">
      <alignment horizontal="center" vertical="center" textRotation="90" wrapText="1"/>
    </xf>
    <xf numFmtId="0" fontId="24" fillId="2" borderId="9" xfId="0" applyFont="1" applyFill="1" applyBorder="1" applyAlignment="1" applyProtection="1">
      <alignment horizontal="center" vertical="center" textRotation="90" wrapText="1"/>
    </xf>
    <xf numFmtId="0" fontId="24" fillId="2" borderId="7" xfId="0" applyFont="1" applyFill="1" applyBorder="1" applyAlignment="1" applyProtection="1">
      <alignment horizontal="center" vertical="center" textRotation="90" wrapText="1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7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8" xfId="0" applyFont="1" applyFill="1" applyBorder="1" applyAlignment="1" applyProtection="1">
      <alignment horizontal="center" vertical="center" wrapText="1"/>
    </xf>
    <xf numFmtId="0" fontId="24" fillId="2" borderId="13" xfId="0" applyFont="1" applyFill="1" applyBorder="1" applyAlignment="1" applyProtection="1">
      <alignment horizontal="center" vertical="center" wrapText="1"/>
    </xf>
    <xf numFmtId="0" fontId="24" fillId="2" borderId="8" xfId="0" applyFont="1" applyFill="1" applyBorder="1" applyAlignment="1" applyProtection="1">
      <alignment horizontal="center" vertical="center" wrapText="1"/>
    </xf>
    <xf numFmtId="0" fontId="24" fillId="2" borderId="10" xfId="0" applyFont="1" applyFill="1" applyBorder="1" applyAlignment="1" applyProtection="1">
      <alignment horizontal="center" vertical="center" wrapText="1"/>
    </xf>
    <xf numFmtId="0" fontId="24" fillId="2" borderId="14" xfId="0" applyFont="1" applyFill="1" applyBorder="1" applyAlignment="1" applyProtection="1">
      <alignment horizontal="center" vertical="center" wrapText="1"/>
    </xf>
    <xf numFmtId="0" fontId="24" fillId="2" borderId="4" xfId="0" applyFont="1" applyFill="1" applyBorder="1" applyAlignment="1" applyProtection="1">
      <alignment horizontal="center" vertical="center" textRotation="90" wrapText="1"/>
    </xf>
    <xf numFmtId="0" fontId="24" fillId="2" borderId="5" xfId="0" applyFont="1" applyFill="1" applyBorder="1" applyAlignment="1" applyProtection="1">
      <alignment horizontal="center" vertical="center" textRotation="90" wrapText="1"/>
    </xf>
    <xf numFmtId="0" fontId="24" fillId="2" borderId="6" xfId="0" applyFont="1" applyFill="1" applyBorder="1" applyAlignment="1" applyProtection="1">
      <alignment horizontal="center" vertical="center" textRotation="90" wrapText="1"/>
    </xf>
    <xf numFmtId="0" fontId="24" fillId="2" borderId="3" xfId="0" applyFont="1" applyFill="1" applyBorder="1" applyAlignment="1" applyProtection="1">
      <alignment horizontal="center" vertical="center" textRotation="90" wrapText="1"/>
    </xf>
    <xf numFmtId="0" fontId="24" fillId="2" borderId="13" xfId="0" applyFont="1" applyFill="1" applyBorder="1" applyAlignment="1" applyProtection="1">
      <alignment horizontal="center" vertical="center" textRotation="90" wrapText="1"/>
    </xf>
    <xf numFmtId="0" fontId="24" fillId="2" borderId="8" xfId="0" applyFont="1" applyFill="1" applyBorder="1" applyAlignment="1" applyProtection="1">
      <alignment horizontal="center" vertical="center" textRotation="90" wrapText="1"/>
    </xf>
    <xf numFmtId="0" fontId="24" fillId="2" borderId="14" xfId="0" applyFont="1" applyFill="1" applyBorder="1" applyAlignment="1" applyProtection="1">
      <alignment horizontal="center" vertical="center" textRotation="90" wrapText="1"/>
    </xf>
    <xf numFmtId="0" fontId="24" fillId="0" borderId="3" xfId="0" applyFont="1" applyBorder="1" applyAlignment="1" applyProtection="1">
      <alignment horizontal="center" vertical="center" wrapText="1"/>
    </xf>
    <xf numFmtId="0" fontId="24" fillId="0" borderId="13" xfId="0" applyFont="1" applyBorder="1" applyAlignment="1" applyProtection="1">
      <alignment horizontal="center" vertical="center" wrapText="1"/>
    </xf>
    <xf numFmtId="0" fontId="24" fillId="0" borderId="8" xfId="0" applyFont="1" applyBorder="1" applyAlignment="1" applyProtection="1">
      <alignment horizontal="center" vertical="center" wrapText="1"/>
    </xf>
    <xf numFmtId="0" fontId="24" fillId="0" borderId="14" xfId="0" applyFont="1" applyBorder="1" applyAlignment="1" applyProtection="1">
      <alignment horizontal="center" vertical="center" wrapText="1"/>
    </xf>
    <xf numFmtId="0" fontId="49" fillId="0" borderId="0" xfId="0" applyFont="1" applyAlignment="1" applyProtection="1">
      <alignment horizontal="center"/>
    </xf>
    <xf numFmtId="0" fontId="68" fillId="0" borderId="0" xfId="0" applyFont="1" applyAlignment="1" applyProtection="1">
      <alignment horizontal="center" vertical="center"/>
    </xf>
    <xf numFmtId="0" fontId="24" fillId="12" borderId="4" xfId="0" applyFont="1" applyFill="1" applyBorder="1" applyAlignment="1" applyProtection="1">
      <alignment horizontal="center" vertical="center"/>
    </xf>
    <xf numFmtId="0" fontId="24" fillId="12" borderId="5" xfId="0" applyFont="1" applyFill="1" applyBorder="1" applyAlignment="1" applyProtection="1">
      <alignment horizontal="center" vertical="center"/>
    </xf>
    <xf numFmtId="0" fontId="24" fillId="12" borderId="6" xfId="0" applyFont="1" applyFill="1" applyBorder="1" applyAlignment="1" applyProtection="1">
      <alignment horizontal="center" vertical="center"/>
    </xf>
    <xf numFmtId="0" fontId="24" fillId="12" borderId="4" xfId="0" applyFont="1" applyFill="1" applyBorder="1" applyAlignment="1" applyProtection="1">
      <alignment horizontal="center" vertical="center" wrapText="1"/>
    </xf>
    <xf numFmtId="0" fontId="24" fillId="12" borderId="6" xfId="0" applyFont="1" applyFill="1" applyBorder="1" applyAlignment="1" applyProtection="1">
      <alignment horizontal="center" vertical="center" wrapText="1"/>
    </xf>
    <xf numFmtId="0" fontId="5" fillId="7" borderId="0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wrapText="1"/>
    </xf>
    <xf numFmtId="0" fontId="26" fillId="0" borderId="1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 wrapText="1"/>
    </xf>
    <xf numFmtId="0" fontId="97" fillId="0" borderId="0" xfId="0" applyFont="1" applyFill="1" applyBorder="1"/>
    <xf numFmtId="0" fontId="66" fillId="2" borderId="0" xfId="2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32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1" xfId="0" applyFont="1" applyBorder="1" applyAlignment="1">
      <alignment horizontal="center" vertical="center" textRotation="90" wrapText="1"/>
    </xf>
    <xf numFmtId="0" fontId="14" fillId="2" borderId="0" xfId="2" applyFont="1" applyFill="1" applyBorder="1" applyAlignment="1">
      <alignment horizontal="left" vertical="center"/>
    </xf>
    <xf numFmtId="0" fontId="26" fillId="0" borderId="2" xfId="0" applyFont="1" applyBorder="1" applyAlignment="1">
      <alignment horizontal="center" vertical="center" textRotation="90" wrapText="1"/>
    </xf>
    <xf numFmtId="0" fontId="26" fillId="0" borderId="7" xfId="0" applyFont="1" applyBorder="1" applyAlignment="1">
      <alignment horizontal="center" vertical="center" textRotation="90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7" fillId="0" borderId="2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68" fillId="0" borderId="0" xfId="0" applyFont="1" applyFill="1" applyBorder="1" applyAlignment="1" applyProtection="1">
      <alignment horizontal="center" vertical="center"/>
    </xf>
    <xf numFmtId="0" fontId="68" fillId="0" borderId="0" xfId="0" applyFont="1" applyAlignment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6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>
      <alignment horizontal="left" vertical="center"/>
    </xf>
    <xf numFmtId="0" fontId="79" fillId="0" borderId="0" xfId="0" applyFont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6" fillId="0" borderId="10" xfId="0" applyFont="1" applyBorder="1" applyAlignment="1">
      <alignment horizontal="center" vertical="center"/>
    </xf>
    <xf numFmtId="0" fontId="6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2" fillId="2" borderId="0" xfId="2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 wrapText="1" indent="16"/>
    </xf>
    <xf numFmtId="0" fontId="1" fillId="9" borderId="1" xfId="0" applyFont="1" applyFill="1" applyBorder="1" applyAlignment="1" applyProtection="1">
      <alignment horizontal="center" vertical="center" wrapText="1"/>
      <protection locked="0"/>
    </xf>
    <xf numFmtId="0" fontId="76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0" fontId="1" fillId="6" borderId="2" xfId="0" applyFont="1" applyFill="1" applyBorder="1" applyAlignment="1" applyProtection="1">
      <alignment horizontal="center" vertical="center" wrapText="1"/>
      <protection locked="0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1" fillId="13" borderId="2" xfId="0" applyFont="1" applyFill="1" applyBorder="1" applyAlignment="1">
      <alignment horizontal="center" vertical="center" wrapText="1"/>
    </xf>
    <xf numFmtId="0" fontId="1" fillId="13" borderId="7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13" borderId="4" xfId="0" applyFont="1" applyFill="1" applyBorder="1" applyAlignment="1">
      <alignment horizontal="center" vertical="center" wrapText="1"/>
    </xf>
    <xf numFmtId="0" fontId="1" fillId="13" borderId="5" xfId="0" applyFont="1" applyFill="1" applyBorder="1" applyAlignment="1">
      <alignment horizontal="center" vertical="center" wrapText="1"/>
    </xf>
    <xf numFmtId="0" fontId="1" fillId="13" borderId="6" xfId="0" applyFont="1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0" fontId="1" fillId="13" borderId="18" xfId="0" applyFont="1" applyFill="1" applyBorder="1" applyAlignment="1">
      <alignment horizontal="center" vertical="center" wrapText="1"/>
    </xf>
    <xf numFmtId="0" fontId="1" fillId="13" borderId="13" xfId="0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horizontal="center" vertical="center" wrapText="1"/>
    </xf>
    <xf numFmtId="0" fontId="1" fillId="13" borderId="10" xfId="0" applyFont="1" applyFill="1" applyBorder="1" applyAlignment="1">
      <alignment horizontal="center" vertical="center" wrapText="1"/>
    </xf>
    <xf numFmtId="0" fontId="1" fillId="13" borderId="14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left" vertical="center" indent="14"/>
    </xf>
    <xf numFmtId="0" fontId="1" fillId="9" borderId="4" xfId="0" applyFont="1" applyFill="1" applyBorder="1" applyAlignment="1" applyProtection="1">
      <alignment horizontal="left" vertical="center" wrapText="1"/>
      <protection locked="0"/>
    </xf>
    <xf numFmtId="0" fontId="1" fillId="9" borderId="6" xfId="0" applyFont="1" applyFill="1" applyBorder="1" applyAlignment="1" applyProtection="1">
      <alignment horizontal="left" vertical="center" wrapText="1"/>
      <protection locked="0"/>
    </xf>
    <xf numFmtId="0" fontId="7" fillId="0" borderId="3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0" fontId="32" fillId="12" borderId="5" xfId="0" applyFont="1" applyFill="1" applyBorder="1" applyAlignment="1">
      <alignment horizontal="center" vertical="center" wrapText="1"/>
    </xf>
    <xf numFmtId="0" fontId="32" fillId="12" borderId="6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left" vertical="center" indent="22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7" fillId="12" borderId="37" xfId="0" applyFont="1" applyFill="1" applyBorder="1" applyAlignment="1">
      <alignment horizontal="center" vertical="center" wrapText="1"/>
    </xf>
    <xf numFmtId="0" fontId="7" fillId="12" borderId="38" xfId="0" applyFont="1" applyFill="1" applyBorder="1" applyAlignment="1">
      <alignment horizontal="center" vertical="center" wrapText="1"/>
    </xf>
    <xf numFmtId="0" fontId="7" fillId="12" borderId="39" xfId="0" applyFont="1" applyFill="1" applyBorder="1" applyAlignment="1">
      <alignment horizontal="center" vertical="center" wrapText="1"/>
    </xf>
    <xf numFmtId="0" fontId="1" fillId="12" borderId="37" xfId="0" applyFont="1" applyFill="1" applyBorder="1" applyAlignment="1">
      <alignment horizontal="center" vertical="center" wrapText="1"/>
    </xf>
    <xf numFmtId="0" fontId="1" fillId="12" borderId="3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left" vertical="center" indent="17"/>
    </xf>
    <xf numFmtId="0" fontId="76" fillId="0" borderId="0" xfId="0" applyFont="1" applyAlignment="1">
      <alignment horizontal="center"/>
    </xf>
    <xf numFmtId="0" fontId="7" fillId="0" borderId="30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6" xfId="0" applyFont="1" applyFill="1" applyBorder="1" applyAlignment="1">
      <alignment horizontal="center" vertical="center" wrapText="1"/>
    </xf>
    <xf numFmtId="0" fontId="71" fillId="2" borderId="0" xfId="2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</xf>
    <xf numFmtId="0" fontId="82" fillId="0" borderId="10" xfId="0" applyFont="1" applyBorder="1" applyAlignment="1" applyProtection="1">
      <alignment horizontal="center" vertical="center"/>
    </xf>
    <xf numFmtId="0" fontId="24" fillId="0" borderId="2" xfId="0" applyFont="1" applyBorder="1" applyAlignment="1" applyProtection="1">
      <alignment horizontal="center" vertical="center" wrapText="1"/>
    </xf>
    <xf numFmtId="0" fontId="24" fillId="0" borderId="9" xfId="0" applyFont="1" applyBorder="1" applyAlignment="1" applyProtection="1">
      <alignment horizontal="center" vertical="center" wrapText="1"/>
    </xf>
    <xf numFmtId="0" fontId="24" fillId="0" borderId="7" xfId="0" applyFont="1" applyBorder="1" applyAlignment="1" applyProtection="1">
      <alignment horizontal="center" vertical="center" wrapText="1"/>
    </xf>
    <xf numFmtId="0" fontId="24" fillId="0" borderId="18" xfId="0" applyFont="1" applyBorder="1" applyAlignment="1" applyProtection="1">
      <alignment horizontal="center" vertical="center" wrapText="1"/>
    </xf>
    <xf numFmtId="0" fontId="24" fillId="0" borderId="10" xfId="0" applyFont="1" applyBorder="1" applyAlignment="1" applyProtection="1">
      <alignment horizontal="center" vertical="center" wrapText="1"/>
    </xf>
    <xf numFmtId="0" fontId="26" fillId="0" borderId="18" xfId="0" applyFont="1" applyFill="1" applyBorder="1" applyAlignment="1" applyProtection="1">
      <alignment horizontal="center" vertical="center" wrapText="1"/>
    </xf>
    <xf numFmtId="0" fontId="26" fillId="0" borderId="13" xfId="0" applyFont="1" applyFill="1" applyBorder="1" applyAlignment="1" applyProtection="1">
      <alignment horizontal="center" vertical="center" wrapText="1"/>
    </xf>
    <xf numFmtId="0" fontId="26" fillId="0" borderId="10" xfId="0" applyFont="1" applyFill="1" applyBorder="1" applyAlignment="1" applyProtection="1">
      <alignment horizontal="center" vertical="center" wrapText="1"/>
    </xf>
    <xf numFmtId="0" fontId="26" fillId="0" borderId="14" xfId="0" applyFont="1" applyFill="1" applyBorder="1" applyAlignment="1" applyProtection="1">
      <alignment horizontal="center" vertical="center" wrapText="1"/>
    </xf>
    <xf numFmtId="0" fontId="26" fillId="0" borderId="4" xfId="0" applyFont="1" applyFill="1" applyBorder="1" applyAlignment="1" applyProtection="1">
      <alignment horizontal="center" vertical="center" wrapText="1"/>
    </xf>
    <xf numFmtId="0" fontId="26" fillId="0" borderId="5" xfId="0" applyFont="1" applyFill="1" applyBorder="1" applyAlignment="1" applyProtection="1">
      <alignment horizontal="center" vertical="center" wrapText="1"/>
    </xf>
    <xf numFmtId="0" fontId="26" fillId="0" borderId="6" xfId="0" applyFont="1" applyFill="1" applyBorder="1" applyAlignment="1" applyProtection="1">
      <alignment horizontal="center" vertical="center" wrapText="1"/>
    </xf>
    <xf numFmtId="0" fontId="24" fillId="12" borderId="5" xfId="0" applyFont="1" applyFill="1" applyBorder="1" applyAlignment="1" applyProtection="1">
      <alignment horizontal="center" vertical="center" wrapText="1"/>
    </xf>
    <xf numFmtId="0" fontId="26" fillId="12" borderId="4" xfId="0" applyFont="1" applyFill="1" applyBorder="1" applyAlignment="1" applyProtection="1">
      <alignment horizontal="center" vertical="center" wrapText="1"/>
    </xf>
    <xf numFmtId="0" fontId="26" fillId="12" borderId="5" xfId="0" applyFont="1" applyFill="1" applyBorder="1" applyAlignment="1" applyProtection="1">
      <alignment horizontal="center" vertical="center" wrapText="1"/>
    </xf>
    <xf numFmtId="0" fontId="26" fillId="12" borderId="6" xfId="0" applyFont="1" applyFill="1" applyBorder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/>
    </xf>
    <xf numFmtId="0" fontId="68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indent="13"/>
    </xf>
    <xf numFmtId="0" fontId="82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2" fillId="0" borderId="0" xfId="0" applyFont="1" applyAlignment="1" applyProtection="1">
      <alignment horizontal="left" vertical="center" indent="16"/>
    </xf>
    <xf numFmtId="0" fontId="76" fillId="0" borderId="10" xfId="8" applyFont="1" applyBorder="1" applyAlignment="1">
      <alignment horizontal="center" vertical="center"/>
    </xf>
    <xf numFmtId="0" fontId="7" fillId="0" borderId="1" xfId="8" applyFont="1" applyBorder="1" applyAlignment="1">
      <alignment horizontal="center" vertical="center"/>
    </xf>
    <xf numFmtId="0" fontId="85" fillId="0" borderId="2" xfId="8" applyFont="1" applyBorder="1" applyAlignment="1">
      <alignment horizontal="center" vertical="center"/>
    </xf>
    <xf numFmtId="0" fontId="85" fillId="0" borderId="7" xfId="8" applyFont="1" applyBorder="1" applyAlignment="1">
      <alignment horizontal="center" vertical="center"/>
    </xf>
    <xf numFmtId="0" fontId="7" fillId="0" borderId="1" xfId="8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98" fillId="3" borderId="0" xfId="2" applyFont="1" applyFill="1" applyBorder="1" applyAlignment="1">
      <alignment horizontal="center" vertical="top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32" fillId="0" borderId="4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32" fillId="6" borderId="4" xfId="0" applyFont="1" applyFill="1" applyBorder="1" applyAlignment="1" applyProtection="1">
      <alignment horizontal="center" vertical="center" wrapText="1"/>
      <protection locked="0"/>
    </xf>
    <xf numFmtId="0" fontId="32" fillId="6" borderId="6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center" vertical="center" wrapText="1"/>
    </xf>
    <xf numFmtId="0" fontId="39" fillId="2" borderId="0" xfId="2" applyFont="1" applyFill="1" applyBorder="1" applyAlignment="1">
      <alignment horizontal="center" vertical="center" wrapText="1"/>
    </xf>
    <xf numFmtId="0" fontId="66" fillId="3" borderId="0" xfId="2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14" fillId="2" borderId="0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11" fillId="2" borderId="0" xfId="2" applyFont="1" applyFill="1" applyBorder="1" applyAlignment="1">
      <alignment horizontal="left" vertical="center"/>
    </xf>
    <xf numFmtId="0" fontId="42" fillId="5" borderId="20" xfId="2" applyFont="1" applyFill="1" applyBorder="1" applyAlignment="1">
      <alignment horizontal="center" vertical="center" wrapText="1"/>
    </xf>
    <xf numFmtId="0" fontId="42" fillId="5" borderId="5" xfId="2" applyFont="1" applyFill="1" applyBorder="1" applyAlignment="1">
      <alignment horizontal="center" vertical="center" wrapText="1"/>
    </xf>
    <xf numFmtId="0" fontId="42" fillId="5" borderId="6" xfId="2" applyFont="1" applyFill="1" applyBorder="1" applyAlignment="1">
      <alignment horizontal="center" vertical="center" wrapText="1"/>
    </xf>
    <xf numFmtId="0" fontId="39" fillId="2" borderId="0" xfId="2" applyFont="1" applyFill="1" applyBorder="1" applyAlignment="1">
      <alignment horizontal="center" vertical="center"/>
    </xf>
    <xf numFmtId="0" fontId="41" fillId="3" borderId="1" xfId="2" applyFont="1" applyFill="1" applyBorder="1" applyAlignment="1">
      <alignment horizontal="center" vertical="center" wrapText="1"/>
    </xf>
    <xf numFmtId="0" fontId="10" fillId="3" borderId="0" xfId="2" applyFont="1" applyFill="1" applyBorder="1" applyAlignment="1" applyProtection="1">
      <alignment horizontal="center" vertical="center"/>
      <protection locked="0"/>
    </xf>
    <xf numFmtId="0" fontId="11" fillId="5" borderId="2" xfId="2" applyFont="1" applyFill="1" applyBorder="1" applyAlignment="1">
      <alignment horizontal="center" vertical="center" wrapText="1"/>
    </xf>
    <xf numFmtId="0" fontId="11" fillId="5" borderId="9" xfId="2" applyFont="1" applyFill="1" applyBorder="1" applyAlignment="1">
      <alignment horizontal="center" vertical="center" wrapText="1"/>
    </xf>
    <xf numFmtId="0" fontId="11" fillId="5" borderId="7" xfId="2" applyFont="1" applyFill="1" applyBorder="1" applyAlignment="1">
      <alignment horizontal="center" vertical="center" wrapText="1"/>
    </xf>
    <xf numFmtId="0" fontId="11" fillId="5" borderId="3" xfId="2" applyFont="1" applyFill="1" applyBorder="1" applyAlignment="1">
      <alignment horizontal="center" vertical="center" wrapText="1"/>
    </xf>
    <xf numFmtId="0" fontId="11" fillId="5" borderId="18" xfId="2" applyFont="1" applyFill="1" applyBorder="1" applyAlignment="1">
      <alignment horizontal="center" vertical="center" wrapText="1"/>
    </xf>
    <xf numFmtId="0" fontId="11" fillId="5" borderId="13" xfId="2" applyFont="1" applyFill="1" applyBorder="1" applyAlignment="1">
      <alignment horizontal="center" vertical="center" wrapText="1"/>
    </xf>
    <xf numFmtId="0" fontId="11" fillId="5" borderId="17" xfId="2" applyFont="1" applyFill="1" applyBorder="1" applyAlignment="1">
      <alignment horizontal="center" vertical="center" wrapText="1"/>
    </xf>
    <xf numFmtId="0" fontId="11" fillId="5" borderId="0" xfId="2" applyFont="1" applyFill="1" applyBorder="1" applyAlignment="1">
      <alignment horizontal="center" vertical="center" wrapText="1"/>
    </xf>
    <xf numFmtId="0" fontId="11" fillId="5" borderId="16" xfId="2" applyFont="1" applyFill="1" applyBorder="1" applyAlignment="1">
      <alignment horizontal="center" vertical="center" wrapText="1"/>
    </xf>
    <xf numFmtId="0" fontId="11" fillId="5" borderId="8" xfId="2" applyFont="1" applyFill="1" applyBorder="1" applyAlignment="1">
      <alignment horizontal="center" vertical="center" wrapText="1"/>
    </xf>
    <xf numFmtId="0" fontId="11" fillId="5" borderId="10" xfId="2" applyFont="1" applyFill="1" applyBorder="1" applyAlignment="1">
      <alignment horizontal="center" vertical="center" wrapText="1"/>
    </xf>
    <xf numFmtId="0" fontId="11" fillId="5" borderId="14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>
      <alignment horizontal="center" vertical="center" wrapText="1"/>
    </xf>
    <xf numFmtId="0" fontId="11" fillId="2" borderId="2" xfId="2" applyFont="1" applyFill="1" applyBorder="1" applyAlignment="1">
      <alignment horizontal="center" vertical="center" wrapText="1"/>
    </xf>
    <xf numFmtId="0" fontId="18" fillId="3" borderId="1" xfId="2" applyFont="1" applyFill="1" applyBorder="1" applyAlignment="1">
      <alignment horizontal="center" vertical="center" wrapText="1"/>
    </xf>
    <xf numFmtId="0" fontId="18" fillId="3" borderId="2" xfId="2" applyFont="1" applyFill="1" applyBorder="1" applyAlignment="1">
      <alignment horizontal="center" vertical="center" wrapText="1"/>
    </xf>
    <xf numFmtId="0" fontId="11" fillId="2" borderId="3" xfId="2" applyFont="1" applyFill="1" applyBorder="1" applyAlignment="1">
      <alignment horizontal="center" vertical="center" wrapText="1"/>
    </xf>
    <xf numFmtId="0" fontId="11" fillId="2" borderId="18" xfId="2" applyFont="1" applyFill="1" applyBorder="1" applyAlignment="1">
      <alignment horizontal="center" vertical="center" wrapText="1"/>
    </xf>
    <xf numFmtId="0" fontId="11" fillId="2" borderId="13" xfId="2" applyFont="1" applyFill="1" applyBorder="1" applyAlignment="1">
      <alignment horizontal="center" vertical="center" wrapText="1"/>
    </xf>
    <xf numFmtId="0" fontId="11" fillId="2" borderId="8" xfId="2" applyFont="1" applyFill="1" applyBorder="1" applyAlignment="1">
      <alignment horizontal="center" vertical="center" wrapText="1"/>
    </xf>
    <xf numFmtId="0" fontId="11" fillId="2" borderId="10" xfId="2" applyFont="1" applyFill="1" applyBorder="1" applyAlignment="1">
      <alignment horizontal="center" vertical="center" wrapText="1"/>
    </xf>
    <xf numFmtId="0" fontId="11" fillId="2" borderId="14" xfId="2" applyFont="1" applyFill="1" applyBorder="1" applyAlignment="1">
      <alignment horizontal="center" vertical="center" wrapText="1"/>
    </xf>
    <xf numFmtId="0" fontId="18" fillId="3" borderId="3" xfId="2" applyFont="1" applyFill="1" applyBorder="1" applyAlignment="1">
      <alignment horizontal="center" vertical="center" wrapText="1"/>
    </xf>
    <xf numFmtId="0" fontId="0" fillId="0" borderId="13" xfId="0" applyFont="1" applyBorder="1"/>
    <xf numFmtId="0" fontId="0" fillId="0" borderId="17" xfId="0" applyFont="1" applyBorder="1"/>
    <xf numFmtId="0" fontId="0" fillId="0" borderId="16" xfId="0" applyFont="1" applyBorder="1"/>
    <xf numFmtId="0" fontId="0" fillId="0" borderId="8" xfId="0" applyFont="1" applyBorder="1"/>
    <xf numFmtId="0" fontId="0" fillId="0" borderId="14" xfId="0" applyFont="1" applyBorder="1"/>
    <xf numFmtId="0" fontId="19" fillId="3" borderId="1" xfId="2" applyFont="1" applyFill="1" applyBorder="1" applyAlignment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6" xfId="2" applyFont="1" applyFill="1" applyBorder="1" applyAlignment="1" applyProtection="1">
      <alignment horizontal="center" vertical="center" wrapText="1"/>
    </xf>
    <xf numFmtId="0" fontId="46" fillId="0" borderId="5" xfId="2" applyFont="1" applyFill="1" applyBorder="1" applyAlignment="1" applyProtection="1">
      <alignment horizontal="center" vertical="center" wrapText="1"/>
    </xf>
    <xf numFmtId="0" fontId="46" fillId="0" borderId="6" xfId="2" applyFont="1" applyFill="1" applyBorder="1" applyAlignment="1" applyProtection="1">
      <alignment horizontal="center" vertical="center" wrapText="1"/>
    </xf>
    <xf numFmtId="0" fontId="95" fillId="9" borderId="4" xfId="2" applyFont="1" applyFill="1" applyBorder="1" applyAlignment="1" applyProtection="1">
      <alignment horizontal="left" vertical="center" wrapText="1" indent="2"/>
      <protection locked="0"/>
    </xf>
    <xf numFmtId="0" fontId="95" fillId="9" borderId="6" xfId="2" applyFont="1" applyFill="1" applyBorder="1" applyAlignment="1" applyProtection="1">
      <alignment horizontal="left" vertical="center" wrapText="1" indent="2"/>
      <protection locked="0"/>
    </xf>
    <xf numFmtId="0" fontId="10" fillId="2" borderId="0" xfId="2" applyFont="1" applyFill="1" applyBorder="1" applyAlignment="1" applyProtection="1">
      <alignment horizontal="center" vertical="center"/>
      <protection locked="0"/>
    </xf>
    <xf numFmtId="0" fontId="66" fillId="2" borderId="0" xfId="2" applyFont="1" applyFill="1" applyBorder="1" applyAlignment="1">
      <alignment horizontal="center" vertical="center"/>
    </xf>
    <xf numFmtId="0" fontId="14" fillId="2" borderId="0" xfId="2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>
      <alignment horizontal="center"/>
    </xf>
    <xf numFmtId="0" fontId="40" fillId="3" borderId="4" xfId="2" applyFont="1" applyFill="1" applyBorder="1" applyAlignment="1">
      <alignment horizontal="center" vertical="center"/>
    </xf>
    <xf numFmtId="0" fontId="40" fillId="3" borderId="5" xfId="2" applyFont="1" applyFill="1" applyBorder="1" applyAlignment="1">
      <alignment horizontal="center" vertical="center"/>
    </xf>
    <xf numFmtId="0" fontId="89" fillId="0" borderId="5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 indent="10"/>
    </xf>
    <xf numFmtId="0" fontId="86" fillId="2" borderId="10" xfId="2" applyFont="1" applyFill="1" applyBorder="1" applyAlignment="1">
      <alignment horizontal="center" vertical="center"/>
    </xf>
    <xf numFmtId="0" fontId="19" fillId="3" borderId="2" xfId="2" applyFont="1" applyFill="1" applyBorder="1" applyAlignment="1">
      <alignment horizontal="center" vertical="center" wrapText="1"/>
    </xf>
    <xf numFmtId="0" fontId="19" fillId="3" borderId="7" xfId="2" applyFont="1" applyFill="1" applyBorder="1" applyAlignment="1">
      <alignment horizontal="center" vertical="center" wrapText="1"/>
    </xf>
    <xf numFmtId="0" fontId="12" fillId="2" borderId="3" xfId="2" applyFont="1" applyFill="1" applyBorder="1" applyAlignment="1">
      <alignment horizontal="center" vertical="center" wrapText="1"/>
    </xf>
    <xf numFmtId="0" fontId="12" fillId="2" borderId="18" xfId="2" applyFont="1" applyFill="1" applyBorder="1" applyAlignment="1">
      <alignment horizontal="center" vertical="center" wrapText="1"/>
    </xf>
    <xf numFmtId="0" fontId="12" fillId="2" borderId="13" xfId="2" applyFont="1" applyFill="1" applyBorder="1" applyAlignment="1">
      <alignment horizontal="center" vertical="center" wrapText="1"/>
    </xf>
    <xf numFmtId="0" fontId="12" fillId="2" borderId="8" xfId="2" applyFont="1" applyFill="1" applyBorder="1" applyAlignment="1">
      <alignment horizontal="center" vertical="center" wrapText="1"/>
    </xf>
    <xf numFmtId="0" fontId="12" fillId="2" borderId="10" xfId="2" applyFont="1" applyFill="1" applyBorder="1" applyAlignment="1">
      <alignment horizontal="center" vertical="center" wrapText="1"/>
    </xf>
    <xf numFmtId="0" fontId="12" fillId="2" borderId="14" xfId="2" applyFont="1" applyFill="1" applyBorder="1" applyAlignment="1">
      <alignment horizontal="center" vertical="center" wrapText="1"/>
    </xf>
    <xf numFmtId="0" fontId="12" fillId="2" borderId="4" xfId="2" applyFont="1" applyFill="1" applyBorder="1" applyAlignment="1">
      <alignment horizontal="center" vertical="center" wrapText="1"/>
    </xf>
    <xf numFmtId="0" fontId="12" fillId="2" borderId="6" xfId="2" applyFont="1" applyFill="1" applyBorder="1" applyAlignment="1">
      <alignment horizontal="center" vertical="center" wrapText="1"/>
    </xf>
    <xf numFmtId="0" fontId="12" fillId="2" borderId="2" xfId="2" applyFont="1" applyFill="1" applyBorder="1" applyAlignment="1">
      <alignment horizontal="center" vertical="center" wrapText="1"/>
    </xf>
    <xf numFmtId="0" fontId="12" fillId="2" borderId="7" xfId="2" applyFont="1" applyFill="1" applyBorder="1" applyAlignment="1">
      <alignment horizontal="center" vertical="center" wrapText="1"/>
    </xf>
    <xf numFmtId="0" fontId="11" fillId="2" borderId="0" xfId="2" applyFont="1" applyFill="1" applyBorder="1" applyAlignment="1">
      <alignment horizontal="center" vertical="center"/>
    </xf>
    <xf numFmtId="0" fontId="66" fillId="3" borderId="0" xfId="2" applyFont="1" applyFill="1" applyBorder="1" applyAlignment="1">
      <alignment horizontal="center" vertical="center"/>
    </xf>
    <xf numFmtId="0" fontId="70" fillId="3" borderId="0" xfId="4" applyFont="1" applyFill="1" applyBorder="1" applyAlignment="1">
      <alignment horizontal="center" vertical="top"/>
    </xf>
    <xf numFmtId="0" fontId="39" fillId="2" borderId="10" xfId="4" applyFont="1" applyFill="1" applyBorder="1" applyAlignment="1">
      <alignment horizontal="center" vertical="center"/>
    </xf>
    <xf numFmtId="0" fontId="19" fillId="3" borderId="1" xfId="4" applyFont="1" applyFill="1" applyBorder="1" applyAlignment="1">
      <alignment horizontal="center" vertical="center" wrapText="1"/>
    </xf>
    <xf numFmtId="0" fontId="12" fillId="2" borderId="1" xfId="4" applyFont="1" applyFill="1" applyBorder="1" applyAlignment="1">
      <alignment horizontal="center" vertical="center" wrapText="1"/>
    </xf>
    <xf numFmtId="0" fontId="12" fillId="2" borderId="4" xfId="4" applyFont="1" applyFill="1" applyBorder="1" applyAlignment="1">
      <alignment horizontal="center" vertical="center" wrapText="1"/>
    </xf>
    <xf numFmtId="0" fontId="12" fillId="2" borderId="5" xfId="4" applyFont="1" applyFill="1" applyBorder="1" applyAlignment="1">
      <alignment horizontal="center" vertical="center" wrapText="1"/>
    </xf>
    <xf numFmtId="0" fontId="12" fillId="2" borderId="6" xfId="4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left" vertical="center" indent="12"/>
    </xf>
    <xf numFmtId="0" fontId="8" fillId="7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2" fillId="0" borderId="0" xfId="0" applyFont="1" applyAlignment="1">
      <alignment horizontal="right"/>
    </xf>
  </cellXfs>
  <cellStyles count="10">
    <cellStyle name="Comma" xfId="5" builtinId="3"/>
    <cellStyle name="Comma 2" xfId="3"/>
    <cellStyle name="Normal" xfId="0" builtinId="0"/>
    <cellStyle name="Normal 2" xfId="2"/>
    <cellStyle name="Normal 2 2" xfId="4"/>
    <cellStyle name="Normal 2 2 2" xfId="9"/>
    <cellStyle name="Normal 2 3" xfId="7"/>
    <cellStyle name="Normal 3" xfId="1"/>
    <cellStyle name="Normal 3 2" xfId="8"/>
    <cellStyle name="Percent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6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28575</xdr:rowOff>
        </xdr:from>
        <xdr:to>
          <xdr:col>12</xdr:col>
          <xdr:colOff>228600</xdr:colOff>
          <xdr:row>0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1</xdr:col>
          <xdr:colOff>228600</xdr:colOff>
          <xdr:row>1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28575</xdr:rowOff>
        </xdr:from>
        <xdr:to>
          <xdr:col>4</xdr:col>
          <xdr:colOff>228600</xdr:colOff>
          <xdr:row>1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28575</xdr:rowOff>
        </xdr:from>
        <xdr:to>
          <xdr:col>4</xdr:col>
          <xdr:colOff>228600</xdr:colOff>
          <xdr:row>2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28575</xdr:rowOff>
        </xdr:from>
        <xdr:to>
          <xdr:col>2</xdr:col>
          <xdr:colOff>247650</xdr:colOff>
          <xdr:row>5</xdr:row>
          <xdr:rowOff>152400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28575</xdr:rowOff>
        </xdr:from>
        <xdr:to>
          <xdr:col>2</xdr:col>
          <xdr:colOff>247650</xdr:colOff>
          <xdr:row>6</xdr:row>
          <xdr:rowOff>152400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28575</xdr:rowOff>
        </xdr:from>
        <xdr:to>
          <xdr:col>2</xdr:col>
          <xdr:colOff>247650</xdr:colOff>
          <xdr:row>7</xdr:row>
          <xdr:rowOff>152400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8</xdr:row>
          <xdr:rowOff>28575</xdr:rowOff>
        </xdr:from>
        <xdr:to>
          <xdr:col>2</xdr:col>
          <xdr:colOff>247650</xdr:colOff>
          <xdr:row>8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38100</xdr:rowOff>
        </xdr:from>
        <xdr:to>
          <xdr:col>1</xdr:col>
          <xdr:colOff>228600</xdr:colOff>
          <xdr:row>9</xdr:row>
          <xdr:rowOff>161925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152400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57150</xdr:rowOff>
        </xdr:from>
        <xdr:to>
          <xdr:col>2</xdr:col>
          <xdr:colOff>247650</xdr:colOff>
          <xdr:row>12</xdr:row>
          <xdr:rowOff>180975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57150</xdr:rowOff>
        </xdr:from>
        <xdr:to>
          <xdr:col>2</xdr:col>
          <xdr:colOff>247650</xdr:colOff>
          <xdr:row>13</xdr:row>
          <xdr:rowOff>180975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14</xdr:row>
          <xdr:rowOff>57150</xdr:rowOff>
        </xdr:from>
        <xdr:to>
          <xdr:col>2</xdr:col>
          <xdr:colOff>247650</xdr:colOff>
          <xdr:row>14</xdr:row>
          <xdr:rowOff>180975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15</xdr:row>
          <xdr:rowOff>133350</xdr:rowOff>
        </xdr:from>
        <xdr:to>
          <xdr:col>1</xdr:col>
          <xdr:colOff>247650</xdr:colOff>
          <xdr:row>15</xdr:row>
          <xdr:rowOff>257175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123825</xdr:rowOff>
        </xdr:from>
        <xdr:to>
          <xdr:col>7</xdr:col>
          <xdr:colOff>238125</xdr:colOff>
          <xdr:row>15</xdr:row>
          <xdr:rowOff>247650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16</xdr:row>
          <xdr:rowOff>133350</xdr:rowOff>
        </xdr:from>
        <xdr:to>
          <xdr:col>7</xdr:col>
          <xdr:colOff>247650</xdr:colOff>
          <xdr:row>16</xdr:row>
          <xdr:rowOff>257175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17</xdr:row>
          <xdr:rowOff>133350</xdr:rowOff>
        </xdr:from>
        <xdr:to>
          <xdr:col>7</xdr:col>
          <xdr:colOff>247650</xdr:colOff>
          <xdr:row>17</xdr:row>
          <xdr:rowOff>257175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238125</xdr:colOff>
          <xdr:row>18</xdr:row>
          <xdr:rowOff>152400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</xdr:row>
          <xdr:rowOff>28575</xdr:rowOff>
        </xdr:from>
        <xdr:to>
          <xdr:col>8</xdr:col>
          <xdr:colOff>228600</xdr:colOff>
          <xdr:row>18</xdr:row>
          <xdr:rowOff>152400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18</xdr:row>
          <xdr:rowOff>28575</xdr:rowOff>
        </xdr:from>
        <xdr:to>
          <xdr:col>11</xdr:col>
          <xdr:colOff>228600</xdr:colOff>
          <xdr:row>18</xdr:row>
          <xdr:rowOff>152400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38100</xdr:rowOff>
        </xdr:from>
        <xdr:to>
          <xdr:col>2</xdr:col>
          <xdr:colOff>228600</xdr:colOff>
          <xdr:row>18</xdr:row>
          <xdr:rowOff>161925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19</xdr:row>
          <xdr:rowOff>28575</xdr:rowOff>
        </xdr:from>
        <xdr:to>
          <xdr:col>8</xdr:col>
          <xdr:colOff>228600</xdr:colOff>
          <xdr:row>19</xdr:row>
          <xdr:rowOff>152400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38100</xdr:rowOff>
        </xdr:from>
        <xdr:to>
          <xdr:col>5</xdr:col>
          <xdr:colOff>238125</xdr:colOff>
          <xdr:row>19</xdr:row>
          <xdr:rowOff>161925</xdr:rowOff>
        </xdr:to>
        <xdr:sp macro="" textlink="">
          <xdr:nvSpPr>
            <xdr:cNvPr id="10266" name="Button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20</xdr:row>
          <xdr:rowOff>28575</xdr:rowOff>
        </xdr:from>
        <xdr:to>
          <xdr:col>11</xdr:col>
          <xdr:colOff>228600</xdr:colOff>
          <xdr:row>20</xdr:row>
          <xdr:rowOff>152400</xdr:rowOff>
        </xdr:to>
        <xdr:sp macro="" textlink="">
          <xdr:nvSpPr>
            <xdr:cNvPr id="10267" name="Button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20</xdr:row>
          <xdr:rowOff>38100</xdr:rowOff>
        </xdr:from>
        <xdr:to>
          <xdr:col>8</xdr:col>
          <xdr:colOff>228600</xdr:colOff>
          <xdr:row>20</xdr:row>
          <xdr:rowOff>161925</xdr:rowOff>
        </xdr:to>
        <xdr:sp macro="" textlink="">
          <xdr:nvSpPr>
            <xdr:cNvPr id="10268" name="Button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21</xdr:row>
          <xdr:rowOff>38100</xdr:rowOff>
        </xdr:from>
        <xdr:to>
          <xdr:col>11</xdr:col>
          <xdr:colOff>238125</xdr:colOff>
          <xdr:row>21</xdr:row>
          <xdr:rowOff>161925</xdr:rowOff>
        </xdr:to>
        <xdr:sp macro="" textlink="">
          <xdr:nvSpPr>
            <xdr:cNvPr id="10269" name="Button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23</xdr:row>
          <xdr:rowOff>28575</xdr:rowOff>
        </xdr:from>
        <xdr:to>
          <xdr:col>3</xdr:col>
          <xdr:colOff>238125</xdr:colOff>
          <xdr:row>23</xdr:row>
          <xdr:rowOff>152400</xdr:rowOff>
        </xdr:to>
        <xdr:sp macro="" textlink="">
          <xdr:nvSpPr>
            <xdr:cNvPr id="10270" name="Button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23</xdr:row>
          <xdr:rowOff>28575</xdr:rowOff>
        </xdr:from>
        <xdr:to>
          <xdr:col>6</xdr:col>
          <xdr:colOff>238125</xdr:colOff>
          <xdr:row>23</xdr:row>
          <xdr:rowOff>152400</xdr:rowOff>
        </xdr:to>
        <xdr:sp macro="" textlink="">
          <xdr:nvSpPr>
            <xdr:cNvPr id="10271" name="Button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23</xdr:row>
          <xdr:rowOff>28575</xdr:rowOff>
        </xdr:from>
        <xdr:to>
          <xdr:col>9</xdr:col>
          <xdr:colOff>238125</xdr:colOff>
          <xdr:row>23</xdr:row>
          <xdr:rowOff>152400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10273" name="Button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24</xdr:row>
          <xdr:rowOff>28575</xdr:rowOff>
        </xdr:from>
        <xdr:to>
          <xdr:col>6</xdr:col>
          <xdr:colOff>238125</xdr:colOff>
          <xdr:row>24</xdr:row>
          <xdr:rowOff>152400</xdr:rowOff>
        </xdr:to>
        <xdr:sp macro="" textlink="">
          <xdr:nvSpPr>
            <xdr:cNvPr id="10274" name="Button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24</xdr:row>
          <xdr:rowOff>28575</xdr:rowOff>
        </xdr:from>
        <xdr:to>
          <xdr:col>9</xdr:col>
          <xdr:colOff>238125</xdr:colOff>
          <xdr:row>24</xdr:row>
          <xdr:rowOff>152400</xdr:rowOff>
        </xdr:to>
        <xdr:sp macro="" textlink="">
          <xdr:nvSpPr>
            <xdr:cNvPr id="10275" name="Button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24</xdr:row>
          <xdr:rowOff>28575</xdr:rowOff>
        </xdr:from>
        <xdr:to>
          <xdr:col>3</xdr:col>
          <xdr:colOff>238125</xdr:colOff>
          <xdr:row>24</xdr:row>
          <xdr:rowOff>152400</xdr:rowOff>
        </xdr:to>
        <xdr:sp macro="" textlink="">
          <xdr:nvSpPr>
            <xdr:cNvPr id="10276" name="Button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25</xdr:row>
          <xdr:rowOff>28575</xdr:rowOff>
        </xdr:from>
        <xdr:to>
          <xdr:col>9</xdr:col>
          <xdr:colOff>238125</xdr:colOff>
          <xdr:row>25</xdr:row>
          <xdr:rowOff>152400</xdr:rowOff>
        </xdr:to>
        <xdr:sp macro="" textlink="">
          <xdr:nvSpPr>
            <xdr:cNvPr id="10277" name="Button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25</xdr:row>
          <xdr:rowOff>28575</xdr:rowOff>
        </xdr:from>
        <xdr:to>
          <xdr:col>6</xdr:col>
          <xdr:colOff>238125</xdr:colOff>
          <xdr:row>25</xdr:row>
          <xdr:rowOff>152400</xdr:rowOff>
        </xdr:to>
        <xdr:sp macro="" textlink="">
          <xdr:nvSpPr>
            <xdr:cNvPr id="10278" name="Button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26</xdr:row>
          <xdr:rowOff>28575</xdr:rowOff>
        </xdr:from>
        <xdr:to>
          <xdr:col>9</xdr:col>
          <xdr:colOff>238125</xdr:colOff>
          <xdr:row>26</xdr:row>
          <xdr:rowOff>152400</xdr:rowOff>
        </xdr:to>
        <xdr:sp macro="" textlink="">
          <xdr:nvSpPr>
            <xdr:cNvPr id="10279" name="Button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238125</xdr:colOff>
          <xdr:row>28</xdr:row>
          <xdr:rowOff>152400</xdr:rowOff>
        </xdr:to>
        <xdr:sp macro="" textlink="">
          <xdr:nvSpPr>
            <xdr:cNvPr id="10280" name="Button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30</xdr:row>
          <xdr:rowOff>28575</xdr:rowOff>
        </xdr:from>
        <xdr:to>
          <xdr:col>0</xdr:col>
          <xdr:colOff>238125</xdr:colOff>
          <xdr:row>30</xdr:row>
          <xdr:rowOff>152400</xdr:rowOff>
        </xdr:to>
        <xdr:sp macro="" textlink="">
          <xdr:nvSpPr>
            <xdr:cNvPr id="10281" name="Button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31</xdr:row>
          <xdr:rowOff>28575</xdr:rowOff>
        </xdr:from>
        <xdr:to>
          <xdr:col>0</xdr:col>
          <xdr:colOff>238125</xdr:colOff>
          <xdr:row>31</xdr:row>
          <xdr:rowOff>152400</xdr:rowOff>
        </xdr:to>
        <xdr:sp macro="" textlink="">
          <xdr:nvSpPr>
            <xdr:cNvPr id="10282" name="Button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32</xdr:row>
          <xdr:rowOff>28575</xdr:rowOff>
        </xdr:from>
        <xdr:to>
          <xdr:col>0</xdr:col>
          <xdr:colOff>238125</xdr:colOff>
          <xdr:row>32</xdr:row>
          <xdr:rowOff>152400</xdr:rowOff>
        </xdr:to>
        <xdr:sp macro="" textlink="">
          <xdr:nvSpPr>
            <xdr:cNvPr id="10283" name="Button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34</xdr:row>
          <xdr:rowOff>28575</xdr:rowOff>
        </xdr:from>
        <xdr:to>
          <xdr:col>4</xdr:col>
          <xdr:colOff>228600</xdr:colOff>
          <xdr:row>34</xdr:row>
          <xdr:rowOff>152400</xdr:rowOff>
        </xdr:to>
        <xdr:sp macro="" textlink="">
          <xdr:nvSpPr>
            <xdr:cNvPr id="10284" name="Button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35</xdr:row>
          <xdr:rowOff>28575</xdr:rowOff>
        </xdr:from>
        <xdr:to>
          <xdr:col>1</xdr:col>
          <xdr:colOff>228600</xdr:colOff>
          <xdr:row>35</xdr:row>
          <xdr:rowOff>152400</xdr:rowOff>
        </xdr:to>
        <xdr:sp macro="" textlink="">
          <xdr:nvSpPr>
            <xdr:cNvPr id="10285" name="Button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28575</xdr:rowOff>
        </xdr:from>
        <xdr:to>
          <xdr:col>4</xdr:col>
          <xdr:colOff>228600</xdr:colOff>
          <xdr:row>35</xdr:row>
          <xdr:rowOff>152400</xdr:rowOff>
        </xdr:to>
        <xdr:sp macro="" textlink="">
          <xdr:nvSpPr>
            <xdr:cNvPr id="10286" name="Button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37</xdr:row>
          <xdr:rowOff>28575</xdr:rowOff>
        </xdr:from>
        <xdr:to>
          <xdr:col>5</xdr:col>
          <xdr:colOff>228600</xdr:colOff>
          <xdr:row>37</xdr:row>
          <xdr:rowOff>152400</xdr:rowOff>
        </xdr:to>
        <xdr:sp macro="" textlink="">
          <xdr:nvSpPr>
            <xdr:cNvPr id="10287" name="Button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38</xdr:row>
          <xdr:rowOff>28575</xdr:rowOff>
        </xdr:from>
        <xdr:to>
          <xdr:col>5</xdr:col>
          <xdr:colOff>228600</xdr:colOff>
          <xdr:row>38</xdr:row>
          <xdr:rowOff>152400</xdr:rowOff>
        </xdr:to>
        <xdr:sp macro="" textlink="">
          <xdr:nvSpPr>
            <xdr:cNvPr id="10288" name="Button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28575</xdr:rowOff>
        </xdr:from>
        <xdr:to>
          <xdr:col>0</xdr:col>
          <xdr:colOff>228600</xdr:colOff>
          <xdr:row>40</xdr:row>
          <xdr:rowOff>152400</xdr:rowOff>
        </xdr:to>
        <xdr:sp macro="" textlink="">
          <xdr:nvSpPr>
            <xdr:cNvPr id="10289" name="Button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28575</xdr:rowOff>
        </xdr:from>
        <xdr:to>
          <xdr:col>0</xdr:col>
          <xdr:colOff>228600</xdr:colOff>
          <xdr:row>41</xdr:row>
          <xdr:rowOff>152400</xdr:rowOff>
        </xdr:to>
        <xdr:sp macro="" textlink="">
          <xdr:nvSpPr>
            <xdr:cNvPr id="10290" name="Button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28575</xdr:rowOff>
        </xdr:from>
        <xdr:to>
          <xdr:col>0</xdr:col>
          <xdr:colOff>228600</xdr:colOff>
          <xdr:row>42</xdr:row>
          <xdr:rowOff>152400</xdr:rowOff>
        </xdr:to>
        <xdr:sp macro="" textlink="">
          <xdr:nvSpPr>
            <xdr:cNvPr id="10291" name="Button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44</xdr:row>
          <xdr:rowOff>28575</xdr:rowOff>
        </xdr:from>
        <xdr:to>
          <xdr:col>4</xdr:col>
          <xdr:colOff>228600</xdr:colOff>
          <xdr:row>44</xdr:row>
          <xdr:rowOff>152400</xdr:rowOff>
        </xdr:to>
        <xdr:sp macro="" textlink="">
          <xdr:nvSpPr>
            <xdr:cNvPr id="10292" name="Button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45</xdr:row>
          <xdr:rowOff>28575</xdr:rowOff>
        </xdr:from>
        <xdr:to>
          <xdr:col>5</xdr:col>
          <xdr:colOff>228600</xdr:colOff>
          <xdr:row>45</xdr:row>
          <xdr:rowOff>152400</xdr:rowOff>
        </xdr:to>
        <xdr:sp macro="" textlink="">
          <xdr:nvSpPr>
            <xdr:cNvPr id="10293" name="Button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46</xdr:row>
          <xdr:rowOff>28575</xdr:rowOff>
        </xdr:from>
        <xdr:to>
          <xdr:col>5</xdr:col>
          <xdr:colOff>228600</xdr:colOff>
          <xdr:row>46</xdr:row>
          <xdr:rowOff>152400</xdr:rowOff>
        </xdr:to>
        <xdr:sp macro="" textlink="">
          <xdr:nvSpPr>
            <xdr:cNvPr id="10294" name="Button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49</xdr:row>
          <xdr:rowOff>28575</xdr:rowOff>
        </xdr:from>
        <xdr:to>
          <xdr:col>0</xdr:col>
          <xdr:colOff>228600</xdr:colOff>
          <xdr:row>49</xdr:row>
          <xdr:rowOff>152400</xdr:rowOff>
        </xdr:to>
        <xdr:sp macro="" textlink="">
          <xdr:nvSpPr>
            <xdr:cNvPr id="10296" name="Button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50</xdr:row>
          <xdr:rowOff>28575</xdr:rowOff>
        </xdr:from>
        <xdr:to>
          <xdr:col>0</xdr:col>
          <xdr:colOff>238125</xdr:colOff>
          <xdr:row>50</xdr:row>
          <xdr:rowOff>152400</xdr:rowOff>
        </xdr:to>
        <xdr:sp macro="" textlink="">
          <xdr:nvSpPr>
            <xdr:cNvPr id="10298" name="Button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52</xdr:row>
          <xdr:rowOff>28575</xdr:rowOff>
        </xdr:from>
        <xdr:to>
          <xdr:col>2</xdr:col>
          <xdr:colOff>238125</xdr:colOff>
          <xdr:row>52</xdr:row>
          <xdr:rowOff>152400</xdr:rowOff>
        </xdr:to>
        <xdr:sp macro="" textlink="">
          <xdr:nvSpPr>
            <xdr:cNvPr id="10300" name="Button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53</xdr:row>
          <xdr:rowOff>28575</xdr:rowOff>
        </xdr:from>
        <xdr:to>
          <xdr:col>2</xdr:col>
          <xdr:colOff>238125</xdr:colOff>
          <xdr:row>53</xdr:row>
          <xdr:rowOff>152400</xdr:rowOff>
        </xdr:to>
        <xdr:sp macro="" textlink="">
          <xdr:nvSpPr>
            <xdr:cNvPr id="10301" name="Button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55</xdr:row>
          <xdr:rowOff>28575</xdr:rowOff>
        </xdr:from>
        <xdr:to>
          <xdr:col>2</xdr:col>
          <xdr:colOff>228600</xdr:colOff>
          <xdr:row>55</xdr:row>
          <xdr:rowOff>152400</xdr:rowOff>
        </xdr:to>
        <xdr:sp macro="" textlink="">
          <xdr:nvSpPr>
            <xdr:cNvPr id="10305" name="Button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69850</xdr:colOff>
      <xdr:row>0</xdr:row>
      <xdr:rowOff>342900</xdr:rowOff>
    </xdr:from>
    <xdr:to>
      <xdr:col>1</xdr:col>
      <xdr:colOff>455126</xdr:colOff>
      <xdr:row>0</xdr:row>
      <xdr:rowOff>939799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342900"/>
          <a:ext cx="994876" cy="5968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133351</xdr:rowOff>
    </xdr:from>
    <xdr:to>
      <xdr:col>1</xdr:col>
      <xdr:colOff>385277</xdr:colOff>
      <xdr:row>1</xdr:row>
      <xdr:rowOff>6350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33351"/>
          <a:ext cx="994876" cy="5968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28575</xdr:rowOff>
        </xdr:from>
        <xdr:to>
          <xdr:col>0</xdr:col>
          <xdr:colOff>238125</xdr:colOff>
          <xdr:row>17</xdr:row>
          <xdr:rowOff>152400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28575</xdr:rowOff>
        </xdr:from>
        <xdr:to>
          <xdr:col>0</xdr:col>
          <xdr:colOff>238125</xdr:colOff>
          <xdr:row>19</xdr:row>
          <xdr:rowOff>152400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28575</xdr:rowOff>
        </xdr:from>
        <xdr:to>
          <xdr:col>0</xdr:col>
          <xdr:colOff>238125</xdr:colOff>
          <xdr:row>21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123825</xdr:colOff>
      <xdr:row>0</xdr:row>
      <xdr:rowOff>76201</xdr:rowOff>
    </xdr:from>
    <xdr:to>
      <xdr:col>3</xdr:col>
      <xdr:colOff>206450</xdr:colOff>
      <xdr:row>0</xdr:row>
      <xdr:rowOff>889000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76201"/>
          <a:ext cx="1263725" cy="8127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257176</xdr:rowOff>
    </xdr:from>
    <xdr:to>
      <xdr:col>1</xdr:col>
      <xdr:colOff>1225625</xdr:colOff>
      <xdr:row>0</xdr:row>
      <xdr:rowOff>1069975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7176"/>
          <a:ext cx="1263725" cy="81279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1179360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03210" cy="10096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123266</xdr:colOff>
      <xdr:row>0</xdr:row>
      <xdr:rowOff>134472</xdr:rowOff>
    </xdr:from>
    <xdr:to>
      <xdr:col>2</xdr:col>
      <xdr:colOff>731498</xdr:colOff>
      <xdr:row>0</xdr:row>
      <xdr:rowOff>1144122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28575</xdr:rowOff>
        </xdr:from>
        <xdr:to>
          <xdr:col>0</xdr:col>
          <xdr:colOff>228600</xdr:colOff>
          <xdr:row>13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123266</xdr:colOff>
      <xdr:row>0</xdr:row>
      <xdr:rowOff>134472</xdr:rowOff>
    </xdr:from>
    <xdr:to>
      <xdr:col>2</xdr:col>
      <xdr:colOff>1245848</xdr:colOff>
      <xdr:row>0</xdr:row>
      <xdr:rowOff>1144122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1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38100</xdr:rowOff>
        </xdr:from>
        <xdr:to>
          <xdr:col>0</xdr:col>
          <xdr:colOff>228600</xdr:colOff>
          <xdr:row>16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1184163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133351"/>
          <a:ext cx="1498488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28575</xdr:rowOff>
        </xdr:from>
        <xdr:to>
          <xdr:col>0</xdr:col>
          <xdr:colOff>238125</xdr:colOff>
          <xdr:row>11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47625</xdr:rowOff>
        </xdr:from>
        <xdr:to>
          <xdr:col>0</xdr:col>
          <xdr:colOff>238125</xdr:colOff>
          <xdr:row>17</xdr:row>
          <xdr:rowOff>171450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13</xdr:row>
          <xdr:rowOff>133350</xdr:rowOff>
        </xdr:from>
        <xdr:to>
          <xdr:col>12</xdr:col>
          <xdr:colOff>228600</xdr:colOff>
          <xdr:row>13</xdr:row>
          <xdr:rowOff>257175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133350</xdr:rowOff>
        </xdr:from>
        <xdr:to>
          <xdr:col>12</xdr:col>
          <xdr:colOff>228600</xdr:colOff>
          <xdr:row>16</xdr:row>
          <xdr:rowOff>257175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18</xdr:row>
          <xdr:rowOff>133350</xdr:rowOff>
        </xdr:from>
        <xdr:to>
          <xdr:col>12</xdr:col>
          <xdr:colOff>228600</xdr:colOff>
          <xdr:row>18</xdr:row>
          <xdr:rowOff>257175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19</xdr:row>
          <xdr:rowOff>133350</xdr:rowOff>
        </xdr:from>
        <xdr:to>
          <xdr:col>12</xdr:col>
          <xdr:colOff>228600</xdr:colOff>
          <xdr:row>19</xdr:row>
          <xdr:rowOff>257175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21</xdr:row>
          <xdr:rowOff>133350</xdr:rowOff>
        </xdr:from>
        <xdr:to>
          <xdr:col>12</xdr:col>
          <xdr:colOff>228600</xdr:colOff>
          <xdr:row>21</xdr:row>
          <xdr:rowOff>257175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22</xdr:row>
          <xdr:rowOff>133350</xdr:rowOff>
        </xdr:from>
        <xdr:to>
          <xdr:col>12</xdr:col>
          <xdr:colOff>228600</xdr:colOff>
          <xdr:row>22</xdr:row>
          <xdr:rowOff>257175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133350</xdr:rowOff>
        </xdr:from>
        <xdr:to>
          <xdr:col>12</xdr:col>
          <xdr:colOff>228600</xdr:colOff>
          <xdr:row>23</xdr:row>
          <xdr:rowOff>257175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24</xdr:row>
          <xdr:rowOff>133350</xdr:rowOff>
        </xdr:from>
        <xdr:to>
          <xdr:col>12</xdr:col>
          <xdr:colOff>228600</xdr:colOff>
          <xdr:row>24</xdr:row>
          <xdr:rowOff>257175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911300</xdr:colOff>
      <xdr:row>0</xdr:row>
      <xdr:rowOff>1143001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133350</xdr:rowOff>
        </xdr:from>
        <xdr:to>
          <xdr:col>12</xdr:col>
          <xdr:colOff>228600</xdr:colOff>
          <xdr:row>14</xdr:row>
          <xdr:rowOff>257175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15</xdr:row>
          <xdr:rowOff>133350</xdr:rowOff>
        </xdr:from>
        <xdr:to>
          <xdr:col>12</xdr:col>
          <xdr:colOff>228600</xdr:colOff>
          <xdr:row>15</xdr:row>
          <xdr:rowOff>257175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1225625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181982</xdr:colOff>
      <xdr:row>0</xdr:row>
      <xdr:rowOff>7929</xdr:rowOff>
    </xdr:from>
    <xdr:to>
      <xdr:col>2</xdr:col>
      <xdr:colOff>648168</xdr:colOff>
      <xdr:row>1</xdr:row>
      <xdr:rowOff>133115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82" y="7929"/>
          <a:ext cx="1428211" cy="101101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263526</xdr:rowOff>
    </xdr:from>
    <xdr:to>
      <xdr:col>1</xdr:col>
      <xdr:colOff>610417</xdr:colOff>
      <xdr:row>0</xdr:row>
      <xdr:rowOff>793750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63526"/>
          <a:ext cx="772342" cy="53022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168276</xdr:colOff>
      <xdr:row>0</xdr:row>
      <xdr:rowOff>152401</xdr:rowOff>
    </xdr:from>
    <xdr:to>
      <xdr:col>1</xdr:col>
      <xdr:colOff>746126</xdr:colOff>
      <xdr:row>0</xdr:row>
      <xdr:rowOff>747806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6" y="152401"/>
          <a:ext cx="863600" cy="59540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102</xdr:row>
      <xdr:rowOff>0</xdr:rowOff>
    </xdr:from>
    <xdr:to>
      <xdr:col>3</xdr:col>
      <xdr:colOff>1339925</xdr:colOff>
      <xdr:row>108</xdr:row>
      <xdr:rowOff>57150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xdr:twoCellAnchor editAs="oneCell">
    <xdr:from>
      <xdr:col>2</xdr:col>
      <xdr:colOff>273051</xdr:colOff>
      <xdr:row>0</xdr:row>
      <xdr:rowOff>295276</xdr:rowOff>
    </xdr:from>
    <xdr:to>
      <xdr:col>3</xdr:col>
      <xdr:colOff>1031876</xdr:colOff>
      <xdr:row>0</xdr:row>
      <xdr:rowOff>881156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051" y="295276"/>
          <a:ext cx="1044575" cy="5858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40</xdr:row>
          <xdr:rowOff>19050</xdr:rowOff>
        </xdr:from>
        <xdr:to>
          <xdr:col>1</xdr:col>
          <xdr:colOff>247650</xdr:colOff>
          <xdr:row>40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25401</xdr:colOff>
      <xdr:row>1</xdr:row>
      <xdr:rowOff>1</xdr:rowOff>
    </xdr:from>
    <xdr:ext cx="1106183" cy="5908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1" y="190501"/>
          <a:ext cx="1106183" cy="5908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13</xdr:row>
          <xdr:rowOff>28575</xdr:rowOff>
        </xdr:from>
        <xdr:to>
          <xdr:col>2</xdr:col>
          <xdr:colOff>238125</xdr:colOff>
          <xdr:row>13</xdr:row>
          <xdr:rowOff>152400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238125</xdr:colOff>
          <xdr:row>14</xdr:row>
          <xdr:rowOff>152400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238125</xdr:colOff>
          <xdr:row>15</xdr:row>
          <xdr:rowOff>152400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16</xdr:row>
          <xdr:rowOff>28575</xdr:rowOff>
        </xdr:from>
        <xdr:to>
          <xdr:col>2</xdr:col>
          <xdr:colOff>238125</xdr:colOff>
          <xdr:row>16</xdr:row>
          <xdr:rowOff>152400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17</xdr:row>
          <xdr:rowOff>28575</xdr:rowOff>
        </xdr:from>
        <xdr:to>
          <xdr:col>2</xdr:col>
          <xdr:colOff>238125</xdr:colOff>
          <xdr:row>17</xdr:row>
          <xdr:rowOff>152400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18</xdr:row>
          <xdr:rowOff>28575</xdr:rowOff>
        </xdr:from>
        <xdr:to>
          <xdr:col>2</xdr:col>
          <xdr:colOff>238125</xdr:colOff>
          <xdr:row>18</xdr:row>
          <xdr:rowOff>152400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19</xdr:row>
          <xdr:rowOff>28575</xdr:rowOff>
        </xdr:from>
        <xdr:to>
          <xdr:col>2</xdr:col>
          <xdr:colOff>238125</xdr:colOff>
          <xdr:row>19</xdr:row>
          <xdr:rowOff>152400</xdr:rowOff>
        </xdr:to>
        <xdr:sp macro="" textlink="">
          <xdr:nvSpPr>
            <xdr:cNvPr id="30730" name="Button 10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20</xdr:row>
          <xdr:rowOff>28575</xdr:rowOff>
        </xdr:from>
        <xdr:to>
          <xdr:col>2</xdr:col>
          <xdr:colOff>238125</xdr:colOff>
          <xdr:row>20</xdr:row>
          <xdr:rowOff>152400</xdr:rowOff>
        </xdr:to>
        <xdr:sp macro="" textlink="">
          <xdr:nvSpPr>
            <xdr:cNvPr id="30731" name="Button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21</xdr:row>
          <xdr:rowOff>28575</xdr:rowOff>
        </xdr:from>
        <xdr:to>
          <xdr:col>2</xdr:col>
          <xdr:colOff>238125</xdr:colOff>
          <xdr:row>21</xdr:row>
          <xdr:rowOff>152400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22</xdr:row>
          <xdr:rowOff>28575</xdr:rowOff>
        </xdr:from>
        <xdr:to>
          <xdr:col>2</xdr:col>
          <xdr:colOff>238125</xdr:colOff>
          <xdr:row>22</xdr:row>
          <xdr:rowOff>152400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23</xdr:row>
          <xdr:rowOff>28575</xdr:rowOff>
        </xdr:from>
        <xdr:to>
          <xdr:col>2</xdr:col>
          <xdr:colOff>238125</xdr:colOff>
          <xdr:row>23</xdr:row>
          <xdr:rowOff>152400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24</xdr:row>
          <xdr:rowOff>28575</xdr:rowOff>
        </xdr:from>
        <xdr:to>
          <xdr:col>2</xdr:col>
          <xdr:colOff>238125</xdr:colOff>
          <xdr:row>24</xdr:row>
          <xdr:rowOff>152400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26</xdr:row>
          <xdr:rowOff>28575</xdr:rowOff>
        </xdr:from>
        <xdr:to>
          <xdr:col>2</xdr:col>
          <xdr:colOff>238125</xdr:colOff>
          <xdr:row>26</xdr:row>
          <xdr:rowOff>152400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27</xdr:row>
          <xdr:rowOff>28575</xdr:rowOff>
        </xdr:from>
        <xdr:to>
          <xdr:col>2</xdr:col>
          <xdr:colOff>238125</xdr:colOff>
          <xdr:row>27</xdr:row>
          <xdr:rowOff>152400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28</xdr:row>
          <xdr:rowOff>28575</xdr:rowOff>
        </xdr:from>
        <xdr:to>
          <xdr:col>2</xdr:col>
          <xdr:colOff>238125</xdr:colOff>
          <xdr:row>28</xdr:row>
          <xdr:rowOff>152400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29</xdr:row>
          <xdr:rowOff>28575</xdr:rowOff>
        </xdr:from>
        <xdr:to>
          <xdr:col>2</xdr:col>
          <xdr:colOff>238125</xdr:colOff>
          <xdr:row>29</xdr:row>
          <xdr:rowOff>152400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30</xdr:row>
          <xdr:rowOff>28575</xdr:rowOff>
        </xdr:from>
        <xdr:to>
          <xdr:col>2</xdr:col>
          <xdr:colOff>238125</xdr:colOff>
          <xdr:row>30</xdr:row>
          <xdr:rowOff>152400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31</xdr:row>
          <xdr:rowOff>28575</xdr:rowOff>
        </xdr:from>
        <xdr:to>
          <xdr:col>2</xdr:col>
          <xdr:colOff>238125</xdr:colOff>
          <xdr:row>31</xdr:row>
          <xdr:rowOff>152400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32</xdr:row>
          <xdr:rowOff>28575</xdr:rowOff>
        </xdr:from>
        <xdr:to>
          <xdr:col>2</xdr:col>
          <xdr:colOff>238125</xdr:colOff>
          <xdr:row>32</xdr:row>
          <xdr:rowOff>152400</xdr:rowOff>
        </xdr:to>
        <xdr:sp macro="" textlink="">
          <xdr:nvSpPr>
            <xdr:cNvPr id="30742" name="Button 22" hidden="1">
              <a:extLst>
                <a:ext uri="{63B3BB69-23CF-44E3-9099-C40C66FF867C}">
                  <a14:compatExt spid="_x0000_s3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33</xdr:row>
          <xdr:rowOff>28575</xdr:rowOff>
        </xdr:from>
        <xdr:to>
          <xdr:col>2</xdr:col>
          <xdr:colOff>238125</xdr:colOff>
          <xdr:row>33</xdr:row>
          <xdr:rowOff>152400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34</xdr:row>
          <xdr:rowOff>28575</xdr:rowOff>
        </xdr:from>
        <xdr:to>
          <xdr:col>2</xdr:col>
          <xdr:colOff>238125</xdr:colOff>
          <xdr:row>34</xdr:row>
          <xdr:rowOff>152400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35</xdr:row>
          <xdr:rowOff>28575</xdr:rowOff>
        </xdr:from>
        <xdr:to>
          <xdr:col>2</xdr:col>
          <xdr:colOff>238125</xdr:colOff>
          <xdr:row>35</xdr:row>
          <xdr:rowOff>152400</xdr:rowOff>
        </xdr:to>
        <xdr:sp macro="" textlink="">
          <xdr:nvSpPr>
            <xdr:cNvPr id="30745" name="Button 25" hidden="1">
              <a:extLst>
                <a:ext uri="{63B3BB69-23CF-44E3-9099-C40C66FF867C}">
                  <a14:compatExt spid="_x0000_s30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36</xdr:row>
          <xdr:rowOff>28575</xdr:rowOff>
        </xdr:from>
        <xdr:to>
          <xdr:col>2</xdr:col>
          <xdr:colOff>238125</xdr:colOff>
          <xdr:row>36</xdr:row>
          <xdr:rowOff>152400</xdr:rowOff>
        </xdr:to>
        <xdr:sp macro="" textlink="">
          <xdr:nvSpPr>
            <xdr:cNvPr id="30746" name="Button 26" hidden="1">
              <a:extLst>
                <a:ext uri="{63B3BB69-23CF-44E3-9099-C40C66FF867C}">
                  <a14:compatExt spid="_x0000_s30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37</xdr:row>
          <xdr:rowOff>28575</xdr:rowOff>
        </xdr:from>
        <xdr:to>
          <xdr:col>2</xdr:col>
          <xdr:colOff>238125</xdr:colOff>
          <xdr:row>37</xdr:row>
          <xdr:rowOff>152400</xdr:rowOff>
        </xdr:to>
        <xdr:sp macro="" textlink="">
          <xdr:nvSpPr>
            <xdr:cNvPr id="30747" name="Button 27" hidden="1">
              <a:extLst>
                <a:ext uri="{63B3BB69-23CF-44E3-9099-C40C66FF867C}">
                  <a14:compatExt spid="_x0000_s30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25</xdr:row>
          <xdr:rowOff>28575</xdr:rowOff>
        </xdr:from>
        <xdr:to>
          <xdr:col>2</xdr:col>
          <xdr:colOff>238125</xdr:colOff>
          <xdr:row>25</xdr:row>
          <xdr:rowOff>152400</xdr:rowOff>
        </xdr:to>
        <xdr:sp macro="" textlink="">
          <xdr:nvSpPr>
            <xdr:cNvPr id="30751" name="Button 31" hidden="1">
              <a:extLst>
                <a:ext uri="{63B3BB69-23CF-44E3-9099-C40C66FF867C}">
                  <a14:compatExt spid="_x0000_s30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38</xdr:row>
          <xdr:rowOff>28575</xdr:rowOff>
        </xdr:from>
        <xdr:to>
          <xdr:col>2</xdr:col>
          <xdr:colOff>238125</xdr:colOff>
          <xdr:row>38</xdr:row>
          <xdr:rowOff>152400</xdr:rowOff>
        </xdr:to>
        <xdr:sp macro="" textlink="">
          <xdr:nvSpPr>
            <xdr:cNvPr id="30752" name="Button 32" hidden="1">
              <a:extLst>
                <a:ext uri="{63B3BB69-23CF-44E3-9099-C40C66FF867C}">
                  <a14:compatExt spid="_x0000_s30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16</xdr:row>
          <xdr:rowOff>38100</xdr:rowOff>
        </xdr:from>
        <xdr:to>
          <xdr:col>2</xdr:col>
          <xdr:colOff>247650</xdr:colOff>
          <xdr:row>16</xdr:row>
          <xdr:rowOff>161925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95250</xdr:rowOff>
        </xdr:from>
        <xdr:to>
          <xdr:col>2</xdr:col>
          <xdr:colOff>247650</xdr:colOff>
          <xdr:row>11</xdr:row>
          <xdr:rowOff>219075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95250</xdr:rowOff>
        </xdr:from>
        <xdr:to>
          <xdr:col>2</xdr:col>
          <xdr:colOff>247650</xdr:colOff>
          <xdr:row>13</xdr:row>
          <xdr:rowOff>219075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mn-M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882926</xdr:colOff>
      <xdr:row>3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78226" cy="800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6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7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18" Type="http://schemas.openxmlformats.org/officeDocument/2006/relationships/ctrlProp" Target="../ctrlProps/ctrlProp94.xml"/><Relationship Id="rId26" Type="http://schemas.openxmlformats.org/officeDocument/2006/relationships/ctrlProp" Target="../ctrlProps/ctrlProp102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7.x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17" Type="http://schemas.openxmlformats.org/officeDocument/2006/relationships/ctrlProp" Target="../ctrlProps/ctrlProp93.xml"/><Relationship Id="rId25" Type="http://schemas.openxmlformats.org/officeDocument/2006/relationships/ctrlProp" Target="../ctrlProps/ctrlProp101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92.xml"/><Relationship Id="rId20" Type="http://schemas.openxmlformats.org/officeDocument/2006/relationships/ctrlProp" Target="../ctrlProps/ctrlProp96.xml"/><Relationship Id="rId29" Type="http://schemas.openxmlformats.org/officeDocument/2006/relationships/ctrlProp" Target="../ctrlProps/ctrlProp105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24" Type="http://schemas.openxmlformats.org/officeDocument/2006/relationships/ctrlProp" Target="../ctrlProps/ctrlProp100.xml"/><Relationship Id="rId5" Type="http://schemas.openxmlformats.org/officeDocument/2006/relationships/ctrlProp" Target="../ctrlProps/ctrlProp81.xml"/><Relationship Id="rId15" Type="http://schemas.openxmlformats.org/officeDocument/2006/relationships/ctrlProp" Target="../ctrlProps/ctrlProp91.xml"/><Relationship Id="rId23" Type="http://schemas.openxmlformats.org/officeDocument/2006/relationships/ctrlProp" Target="../ctrlProps/ctrlProp99.xml"/><Relationship Id="rId28" Type="http://schemas.openxmlformats.org/officeDocument/2006/relationships/ctrlProp" Target="../ctrlProps/ctrlProp104.xml"/><Relationship Id="rId10" Type="http://schemas.openxmlformats.org/officeDocument/2006/relationships/ctrlProp" Target="../ctrlProps/ctrlProp86.xml"/><Relationship Id="rId19" Type="http://schemas.openxmlformats.org/officeDocument/2006/relationships/ctrlProp" Target="../ctrlProps/ctrlProp95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Relationship Id="rId14" Type="http://schemas.openxmlformats.org/officeDocument/2006/relationships/ctrlProp" Target="../ctrlProps/ctrlProp90.xml"/><Relationship Id="rId22" Type="http://schemas.openxmlformats.org/officeDocument/2006/relationships/ctrlProp" Target="../ctrlProps/ctrlProp98.xml"/><Relationship Id="rId27" Type="http://schemas.openxmlformats.org/officeDocument/2006/relationships/ctrlProp" Target="../ctrlProps/ctrlProp10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02"/>
  <sheetViews>
    <sheetView topLeftCell="CE1" zoomScale="90" zoomScaleNormal="90" workbookViewId="0">
      <selection activeCell="CX1" sqref="CX1:CX3"/>
    </sheetView>
  </sheetViews>
  <sheetFormatPr defaultRowHeight="15" x14ac:dyDescent="0.25"/>
  <cols>
    <col min="1" max="1" width="27.7109375" style="146" customWidth="1"/>
    <col min="2" max="2" width="66.42578125" style="146" customWidth="1"/>
    <col min="3" max="5" width="9.140625" style="146"/>
    <col min="6" max="6" width="14" style="146" customWidth="1"/>
    <col min="7" max="23" width="9.140625" style="146"/>
    <col min="24" max="24" width="10.5703125" style="146" customWidth="1"/>
    <col min="25" max="27" width="9.140625" style="146"/>
    <col min="28" max="28" width="14.42578125" style="146" customWidth="1"/>
    <col min="29" max="29" width="11.85546875" style="146" customWidth="1"/>
    <col min="30" max="30" width="9.140625" style="146"/>
    <col min="31" max="31" width="48.28515625" style="146" customWidth="1"/>
    <col min="32" max="32" width="15.140625" style="146" customWidth="1"/>
    <col min="33" max="36" width="9.140625" style="146"/>
    <col min="37" max="37" width="22.7109375" style="146" customWidth="1"/>
    <col min="38" max="47" width="9.140625" style="146"/>
    <col min="48" max="48" width="9.140625" style="247"/>
    <col min="49" max="93" width="9.140625" style="146"/>
    <col min="94" max="95" width="9.28515625" style="146" customWidth="1"/>
    <col min="96" max="96" width="13" style="146" customWidth="1"/>
    <col min="97" max="98" width="9.28515625" style="146" customWidth="1"/>
    <col min="99" max="16384" width="9.140625" style="146"/>
  </cols>
  <sheetData>
    <row r="1" spans="1:102" ht="15" customHeight="1" thickBot="1" x14ac:dyDescent="0.3">
      <c r="A1" s="146" t="s">
        <v>133</v>
      </c>
      <c r="B1" s="146" t="s">
        <v>304</v>
      </c>
      <c r="C1" s="146" t="s">
        <v>305</v>
      </c>
      <c r="D1" s="147" t="s">
        <v>216</v>
      </c>
      <c r="E1" s="146" t="s">
        <v>306</v>
      </c>
      <c r="F1" s="148" t="s">
        <v>307</v>
      </c>
      <c r="G1" s="56">
        <v>1</v>
      </c>
      <c r="H1" s="149" t="s">
        <v>308</v>
      </c>
      <c r="I1" s="150" t="s">
        <v>309</v>
      </c>
      <c r="J1" s="149" t="s">
        <v>310</v>
      </c>
      <c r="K1" s="151" t="s">
        <v>311</v>
      </c>
      <c r="L1" s="152" t="s">
        <v>312</v>
      </c>
      <c r="M1" s="153" t="s">
        <v>216</v>
      </c>
      <c r="N1" s="154" t="s">
        <v>313</v>
      </c>
      <c r="O1" s="155" t="s">
        <v>314</v>
      </c>
      <c r="P1" s="156" t="s">
        <v>315</v>
      </c>
      <c r="Q1" s="157" t="s">
        <v>112</v>
      </c>
      <c r="R1" s="158" t="s">
        <v>316</v>
      </c>
      <c r="S1" s="159" t="s">
        <v>317</v>
      </c>
      <c r="T1" s="160" t="s">
        <v>318</v>
      </c>
      <c r="U1" s="161" t="s">
        <v>319</v>
      </c>
      <c r="V1" s="162" t="s">
        <v>320</v>
      </c>
      <c r="W1" s="161" t="s">
        <v>321</v>
      </c>
      <c r="X1" s="163" t="s">
        <v>322</v>
      </c>
      <c r="Y1" s="146" t="s">
        <v>323</v>
      </c>
      <c r="Z1" s="146" t="s">
        <v>324</v>
      </c>
      <c r="AA1" s="146" t="s">
        <v>325</v>
      </c>
      <c r="AB1" s="146" t="s">
        <v>326</v>
      </c>
      <c r="AE1" s="163" t="s">
        <v>327</v>
      </c>
      <c r="AF1" s="163"/>
      <c r="AG1" s="164"/>
      <c r="AH1" s="164"/>
      <c r="AI1" s="164"/>
      <c r="AU1" s="165">
        <v>1980</v>
      </c>
      <c r="AV1" s="166" t="s">
        <v>328</v>
      </c>
      <c r="AY1" t="s">
        <v>329</v>
      </c>
      <c r="AZ1" s="146" t="s">
        <v>330</v>
      </c>
      <c r="BB1" s="146" t="s">
        <v>330</v>
      </c>
      <c r="BC1" s="146" t="s">
        <v>331</v>
      </c>
      <c r="BD1" s="146" t="s">
        <v>332</v>
      </c>
      <c r="BM1" t="s">
        <v>331</v>
      </c>
      <c r="BN1" s="167" t="s">
        <v>333</v>
      </c>
      <c r="BP1" s="146" t="s">
        <v>334</v>
      </c>
      <c r="BQ1" s="168" t="s">
        <v>335</v>
      </c>
      <c r="BR1" s="169" t="s">
        <v>336</v>
      </c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K1" s="146" t="s">
        <v>337</v>
      </c>
      <c r="CL1" s="146" t="s">
        <v>338</v>
      </c>
      <c r="CM1" s="146" t="s">
        <v>337</v>
      </c>
      <c r="CN1" s="146" t="s">
        <v>1412</v>
      </c>
      <c r="CO1" s="146" t="s">
        <v>1407</v>
      </c>
      <c r="CQ1" s="146" t="s">
        <v>1407</v>
      </c>
      <c r="CR1" s="146" t="s">
        <v>1408</v>
      </c>
      <c r="CS1" s="146" t="s">
        <v>1409</v>
      </c>
      <c r="CT1" s="146" t="s">
        <v>1410</v>
      </c>
      <c r="CU1" s="146" t="s">
        <v>342</v>
      </c>
      <c r="CV1" s="601" t="s">
        <v>1418</v>
      </c>
      <c r="CW1" s="603" t="s">
        <v>1420</v>
      </c>
      <c r="CX1" s="146" t="s">
        <v>1414</v>
      </c>
    </row>
    <row r="2" spans="1:102" ht="18.75" thickBot="1" x14ac:dyDescent="0.3">
      <c r="A2" s="146" t="s">
        <v>303</v>
      </c>
      <c r="B2" s="146" t="s">
        <v>341</v>
      </c>
      <c r="C2" s="146" t="s">
        <v>342</v>
      </c>
      <c r="D2" s="147" t="s">
        <v>343</v>
      </c>
      <c r="E2" s="146" t="s">
        <v>344</v>
      </c>
      <c r="F2" s="171" t="s">
        <v>345</v>
      </c>
      <c r="G2" s="56">
        <v>2</v>
      </c>
      <c r="H2" s="163" t="s">
        <v>346</v>
      </c>
      <c r="I2" s="150" t="s">
        <v>347</v>
      </c>
      <c r="J2" s="163" t="s">
        <v>348</v>
      </c>
      <c r="K2" s="172" t="s">
        <v>349</v>
      </c>
      <c r="L2" s="173" t="s">
        <v>350</v>
      </c>
      <c r="M2" s="174" t="s">
        <v>216</v>
      </c>
      <c r="N2" s="175" t="s">
        <v>351</v>
      </c>
      <c r="O2" s="176" t="s">
        <v>352</v>
      </c>
      <c r="P2" s="156" t="s">
        <v>353</v>
      </c>
      <c r="Q2" s="177" t="s">
        <v>354</v>
      </c>
      <c r="R2" s="178" t="s">
        <v>355</v>
      </c>
      <c r="S2" s="159" t="s">
        <v>356</v>
      </c>
      <c r="T2" s="179" t="s">
        <v>357</v>
      </c>
      <c r="U2" s="161" t="s">
        <v>319</v>
      </c>
      <c r="V2" s="162" t="s">
        <v>358</v>
      </c>
      <c r="W2" s="180" t="s">
        <v>216</v>
      </c>
      <c r="X2" s="163" t="s">
        <v>359</v>
      </c>
      <c r="Y2" s="146" t="s">
        <v>360</v>
      </c>
      <c r="Z2" s="146" t="s">
        <v>361</v>
      </c>
      <c r="AA2" s="146" t="s">
        <v>362</v>
      </c>
      <c r="AB2" s="146" t="s">
        <v>363</v>
      </c>
      <c r="AE2" s="181" t="s">
        <v>364</v>
      </c>
      <c r="AF2" s="181" t="s">
        <v>365</v>
      </c>
      <c r="AG2" s="182" t="s">
        <v>366</v>
      </c>
      <c r="AH2" s="181" t="s">
        <v>367</v>
      </c>
      <c r="AI2" s="183" t="s">
        <v>368</v>
      </c>
      <c r="AJ2" s="183"/>
      <c r="AK2" s="182" t="s">
        <v>339</v>
      </c>
      <c r="AL2" s="182" t="s">
        <v>340</v>
      </c>
      <c r="AM2" s="184" t="s">
        <v>369</v>
      </c>
      <c r="AN2" s="184" t="s">
        <v>370</v>
      </c>
      <c r="AO2" s="185" t="s">
        <v>368</v>
      </c>
      <c r="AU2" s="186">
        <v>1981</v>
      </c>
      <c r="AV2" s="166" t="s">
        <v>371</v>
      </c>
      <c r="AY2" t="s">
        <v>372</v>
      </c>
      <c r="AZ2" s="146" t="s">
        <v>373</v>
      </c>
      <c r="BB2" s="146" t="s">
        <v>373</v>
      </c>
      <c r="BC2" s="146" t="s">
        <v>374</v>
      </c>
      <c r="BD2" s="146" t="s">
        <v>375</v>
      </c>
      <c r="BE2" s="146" t="s">
        <v>376</v>
      </c>
      <c r="BF2" s="146" t="s">
        <v>331</v>
      </c>
      <c r="BM2" t="s">
        <v>332</v>
      </c>
      <c r="BN2" s="167" t="s">
        <v>377</v>
      </c>
      <c r="BP2" s="146" t="s">
        <v>378</v>
      </c>
      <c r="BQ2" s="168" t="s">
        <v>335</v>
      </c>
      <c r="BR2" s="169" t="s">
        <v>336</v>
      </c>
      <c r="BS2" s="170"/>
      <c r="BT2" s="170"/>
      <c r="BU2" s="170"/>
      <c r="BV2" s="170"/>
      <c r="BW2" s="170"/>
      <c r="BX2" s="170"/>
      <c r="BY2" s="170"/>
      <c r="BZ2" s="170"/>
      <c r="CA2" s="170"/>
      <c r="CB2" s="170"/>
      <c r="CC2" s="170"/>
      <c r="CD2" s="170"/>
      <c r="CE2" s="170"/>
      <c r="CF2" s="170"/>
      <c r="CG2" s="170"/>
      <c r="CK2" s="146" t="s">
        <v>379</v>
      </c>
      <c r="CL2" s="146" t="s">
        <v>380</v>
      </c>
      <c r="CM2" s="146" t="s">
        <v>379</v>
      </c>
      <c r="CN2" s="146" t="s">
        <v>1413</v>
      </c>
      <c r="CO2" s="146" t="s">
        <v>1408</v>
      </c>
      <c r="CQ2" s="146" t="s">
        <v>1414</v>
      </c>
      <c r="CR2" s="146" t="s">
        <v>1416</v>
      </c>
      <c r="CS2" s="146" t="s">
        <v>1405</v>
      </c>
      <c r="CT2" s="146" t="s">
        <v>1406</v>
      </c>
      <c r="CU2" s="146" t="s">
        <v>383</v>
      </c>
      <c r="CV2" s="602" t="s">
        <v>1419</v>
      </c>
      <c r="CW2" s="602" t="s">
        <v>431</v>
      </c>
      <c r="CX2" s="763" t="s">
        <v>1443</v>
      </c>
    </row>
    <row r="3" spans="1:102" ht="18" x14ac:dyDescent="0.25">
      <c r="A3" s="146" t="s">
        <v>302</v>
      </c>
      <c r="B3" s="146" t="s">
        <v>382</v>
      </c>
      <c r="C3" s="146" t="s">
        <v>383</v>
      </c>
      <c r="D3" s="147" t="s">
        <v>384</v>
      </c>
      <c r="F3" s="171" t="s">
        <v>365</v>
      </c>
      <c r="G3" s="56">
        <v>3</v>
      </c>
      <c r="H3" s="163" t="s">
        <v>385</v>
      </c>
      <c r="I3" s="150" t="s">
        <v>386</v>
      </c>
      <c r="J3" s="163" t="s">
        <v>387</v>
      </c>
      <c r="K3" s="187" t="s">
        <v>388</v>
      </c>
      <c r="L3" s="173" t="s">
        <v>389</v>
      </c>
      <c r="M3" s="174" t="s">
        <v>216</v>
      </c>
      <c r="N3" s="188" t="s">
        <v>390</v>
      </c>
      <c r="O3" s="176" t="s">
        <v>391</v>
      </c>
      <c r="R3" s="178" t="s">
        <v>392</v>
      </c>
      <c r="S3" s="189" t="s">
        <v>393</v>
      </c>
      <c r="T3" s="179" t="s">
        <v>394</v>
      </c>
      <c r="U3" s="161" t="s">
        <v>319</v>
      </c>
      <c r="V3" s="179" t="s">
        <v>395</v>
      </c>
      <c r="W3" s="161" t="s">
        <v>396</v>
      </c>
      <c r="X3" s="163" t="s">
        <v>397</v>
      </c>
      <c r="Y3" s="146" t="s">
        <v>327</v>
      </c>
      <c r="Z3" s="146" t="s">
        <v>398</v>
      </c>
      <c r="AA3" s="146" t="s">
        <v>399</v>
      </c>
      <c r="AB3" s="146" t="s">
        <v>400</v>
      </c>
      <c r="AE3" s="181" t="s">
        <v>401</v>
      </c>
      <c r="AF3" s="181" t="s">
        <v>402</v>
      </c>
      <c r="AG3" s="182" t="s">
        <v>403</v>
      </c>
      <c r="AH3" s="181" t="s">
        <v>404</v>
      </c>
      <c r="AI3" s="183" t="s">
        <v>405</v>
      </c>
      <c r="AJ3" s="183"/>
      <c r="AK3" s="182" t="s">
        <v>406</v>
      </c>
      <c r="AL3" s="182" t="s">
        <v>407</v>
      </c>
      <c r="AM3" s="184" t="s">
        <v>408</v>
      </c>
      <c r="AN3" s="184" t="s">
        <v>409</v>
      </c>
      <c r="AO3" s="185" t="s">
        <v>405</v>
      </c>
      <c r="AU3" s="186">
        <v>1982</v>
      </c>
      <c r="AV3" s="166" t="s">
        <v>410</v>
      </c>
      <c r="AY3" t="s">
        <v>411</v>
      </c>
      <c r="AZ3" s="146" t="s">
        <v>412</v>
      </c>
      <c r="BB3" s="146" t="s">
        <v>412</v>
      </c>
      <c r="BC3" s="146" t="s">
        <v>413</v>
      </c>
      <c r="BD3" s="146" t="s">
        <v>414</v>
      </c>
      <c r="BE3" s="146" t="s">
        <v>415</v>
      </c>
      <c r="BF3" s="146" t="s">
        <v>416</v>
      </c>
      <c r="BG3" s="146" t="s">
        <v>417</v>
      </c>
      <c r="BM3" t="s">
        <v>374</v>
      </c>
      <c r="BN3" s="167" t="s">
        <v>418</v>
      </c>
      <c r="BP3" s="146" t="s">
        <v>419</v>
      </c>
      <c r="BQ3" s="168" t="s">
        <v>335</v>
      </c>
      <c r="BR3" s="169" t="s">
        <v>336</v>
      </c>
      <c r="BS3" s="170"/>
      <c r="BT3" s="170"/>
      <c r="BU3" s="170"/>
      <c r="BV3" s="170"/>
      <c r="BW3" s="170"/>
      <c r="BX3" s="170"/>
      <c r="BY3" s="170"/>
      <c r="BZ3" s="170"/>
      <c r="CA3" s="170"/>
      <c r="CB3" s="170"/>
      <c r="CC3" s="170"/>
      <c r="CD3" s="170"/>
      <c r="CE3" s="170"/>
      <c r="CF3" s="170"/>
      <c r="CG3" s="170"/>
      <c r="CM3" s="146" t="s">
        <v>338</v>
      </c>
      <c r="CN3" s="146" t="s">
        <v>1405</v>
      </c>
      <c r="CO3" s="146" t="s">
        <v>1409</v>
      </c>
      <c r="CQ3" s="146" t="s">
        <v>1415</v>
      </c>
      <c r="CR3" s="146" t="s">
        <v>1417</v>
      </c>
      <c r="CS3" s="184" t="s">
        <v>1422</v>
      </c>
      <c r="CX3" s="146" t="s">
        <v>1444</v>
      </c>
    </row>
    <row r="4" spans="1:102" ht="18" x14ac:dyDescent="0.25">
      <c r="A4" s="146" t="s">
        <v>301</v>
      </c>
      <c r="B4" s="146" t="s">
        <v>421</v>
      </c>
      <c r="C4" s="146" t="s">
        <v>422</v>
      </c>
      <c r="D4" s="147" t="s">
        <v>423</v>
      </c>
      <c r="F4" s="171" t="s">
        <v>424</v>
      </c>
      <c r="G4" s="56">
        <v>4</v>
      </c>
      <c r="H4" s="163" t="s">
        <v>425</v>
      </c>
      <c r="I4" s="150" t="s">
        <v>426</v>
      </c>
      <c r="J4" s="163" t="s">
        <v>427</v>
      </c>
      <c r="L4" s="190" t="s">
        <v>428</v>
      </c>
      <c r="M4" s="174" t="s">
        <v>216</v>
      </c>
      <c r="O4" s="176" t="s">
        <v>429</v>
      </c>
      <c r="R4" s="191" t="s">
        <v>430</v>
      </c>
      <c r="S4" s="189" t="s">
        <v>431</v>
      </c>
      <c r="T4" s="179" t="s">
        <v>432</v>
      </c>
      <c r="U4" s="161" t="s">
        <v>396</v>
      </c>
      <c r="V4" s="179" t="s">
        <v>433</v>
      </c>
      <c r="W4" s="161" t="s">
        <v>319</v>
      </c>
      <c r="X4" s="163" t="s">
        <v>434</v>
      </c>
      <c r="Y4" s="146" t="s">
        <v>435</v>
      </c>
      <c r="Z4" s="146" t="s">
        <v>436</v>
      </c>
      <c r="AA4" s="146" t="s">
        <v>437</v>
      </c>
      <c r="AB4" s="146" t="s">
        <v>438</v>
      </c>
      <c r="AE4" s="181" t="s">
        <v>439</v>
      </c>
      <c r="AF4" s="181" t="s">
        <v>440</v>
      </c>
      <c r="AG4" s="182" t="s">
        <v>441</v>
      </c>
      <c r="AH4" s="182"/>
      <c r="AI4" s="183" t="s">
        <v>442</v>
      </c>
      <c r="AJ4" s="183"/>
      <c r="AK4" s="182" t="s">
        <v>443</v>
      </c>
      <c r="AL4" s="182" t="s">
        <v>444</v>
      </c>
      <c r="AM4" s="184" t="s">
        <v>445</v>
      </c>
      <c r="AN4" s="184" t="s">
        <v>446</v>
      </c>
      <c r="AO4" s="185" t="s">
        <v>442</v>
      </c>
      <c r="AU4" s="186">
        <v>1983</v>
      </c>
      <c r="AV4" s="166" t="s">
        <v>447</v>
      </c>
      <c r="AY4" t="s">
        <v>448</v>
      </c>
      <c r="AZ4" s="146" t="s">
        <v>449</v>
      </c>
      <c r="BB4" s="146" t="s">
        <v>449</v>
      </c>
      <c r="BC4" s="146" t="s">
        <v>450</v>
      </c>
      <c r="BD4" s="146" t="s">
        <v>451</v>
      </c>
      <c r="BE4" s="146" t="s">
        <v>452</v>
      </c>
      <c r="BF4" s="146" t="s">
        <v>453</v>
      </c>
      <c r="BM4" t="s">
        <v>375</v>
      </c>
      <c r="BN4" s="167" t="s">
        <v>418</v>
      </c>
      <c r="BP4" s="146" t="s">
        <v>454</v>
      </c>
      <c r="BQ4" s="192" t="s">
        <v>455</v>
      </c>
      <c r="BR4" s="170" t="s">
        <v>456</v>
      </c>
      <c r="BS4" s="169" t="s">
        <v>457</v>
      </c>
      <c r="BT4" s="169" t="s">
        <v>458</v>
      </c>
      <c r="BU4" s="170" t="s">
        <v>459</v>
      </c>
      <c r="BV4" s="170" t="s">
        <v>460</v>
      </c>
      <c r="BW4" s="170" t="s">
        <v>461</v>
      </c>
      <c r="BX4" s="170" t="s">
        <v>462</v>
      </c>
      <c r="BY4" s="170" t="s">
        <v>463</v>
      </c>
      <c r="BZ4" s="170" t="s">
        <v>464</v>
      </c>
      <c r="CA4" s="170" t="s">
        <v>465</v>
      </c>
      <c r="CB4" s="170" t="s">
        <v>466</v>
      </c>
      <c r="CC4" s="170" t="s">
        <v>467</v>
      </c>
      <c r="CD4" s="170" t="s">
        <v>468</v>
      </c>
      <c r="CE4" s="170" t="s">
        <v>469</v>
      </c>
      <c r="CF4" s="170" t="s">
        <v>470</v>
      </c>
      <c r="CG4" s="170" t="s">
        <v>471</v>
      </c>
      <c r="CM4" s="146" t="s">
        <v>380</v>
      </c>
      <c r="CN4" s="146" t="s">
        <v>1406</v>
      </c>
      <c r="CO4" s="146" t="s">
        <v>1410</v>
      </c>
      <c r="CR4" s="184" t="s">
        <v>1414</v>
      </c>
      <c r="CS4" s="184"/>
    </row>
    <row r="5" spans="1:102" ht="18" x14ac:dyDescent="0.25">
      <c r="A5" s="146" t="s">
        <v>300</v>
      </c>
      <c r="B5" s="146" t="s">
        <v>473</v>
      </c>
      <c r="C5" s="146" t="s">
        <v>474</v>
      </c>
      <c r="D5" s="147" t="s">
        <v>319</v>
      </c>
      <c r="F5" s="193" t="s">
        <v>475</v>
      </c>
      <c r="G5" s="56">
        <v>5</v>
      </c>
      <c r="H5" s="163" t="s">
        <v>476</v>
      </c>
      <c r="I5" s="150" t="s">
        <v>477</v>
      </c>
      <c r="J5" s="194" t="s">
        <v>478</v>
      </c>
      <c r="L5" s="190" t="s">
        <v>479</v>
      </c>
      <c r="M5" s="174" t="s">
        <v>216</v>
      </c>
      <c r="O5" s="176" t="s">
        <v>480</v>
      </c>
      <c r="R5" s="191" t="s">
        <v>481</v>
      </c>
      <c r="S5" s="195" t="s">
        <v>482</v>
      </c>
      <c r="T5" s="179" t="s">
        <v>483</v>
      </c>
      <c r="U5" s="161" t="s">
        <v>319</v>
      </c>
      <c r="V5" s="179" t="s">
        <v>484</v>
      </c>
      <c r="W5" s="161" t="s">
        <v>319</v>
      </c>
      <c r="X5" s="149" t="s">
        <v>485</v>
      </c>
      <c r="Y5" s="146" t="s">
        <v>486</v>
      </c>
      <c r="Z5" s="146" t="s">
        <v>487</v>
      </c>
      <c r="AA5" s="146" t="s">
        <v>488</v>
      </c>
      <c r="AB5" s="146" t="s">
        <v>489</v>
      </c>
      <c r="AE5" s="181" t="s">
        <v>490</v>
      </c>
      <c r="AF5" s="181" t="s">
        <v>491</v>
      </c>
      <c r="AG5" s="182" t="s">
        <v>492</v>
      </c>
      <c r="AH5" s="182"/>
      <c r="AI5" s="183" t="s">
        <v>319</v>
      </c>
      <c r="AJ5" s="183"/>
      <c r="AK5" s="182" t="s">
        <v>493</v>
      </c>
      <c r="AL5" s="182" t="s">
        <v>494</v>
      </c>
      <c r="AM5" s="184" t="s">
        <v>495</v>
      </c>
      <c r="AN5" s="184" t="s">
        <v>496</v>
      </c>
      <c r="AO5" s="185" t="s">
        <v>319</v>
      </c>
      <c r="AU5" s="186">
        <v>1984</v>
      </c>
      <c r="AV5" s="166" t="s">
        <v>497</v>
      </c>
      <c r="AY5" t="s">
        <v>485</v>
      </c>
      <c r="AZ5" s="146" t="s">
        <v>498</v>
      </c>
      <c r="BB5" s="146" t="s">
        <v>498</v>
      </c>
      <c r="BC5" s="146" t="s">
        <v>499</v>
      </c>
      <c r="BD5" s="146" t="s">
        <v>500</v>
      </c>
      <c r="BE5" s="146" t="s">
        <v>501</v>
      </c>
      <c r="BF5" s="146" t="s">
        <v>502</v>
      </c>
      <c r="BG5" s="146" t="s">
        <v>503</v>
      </c>
      <c r="BH5" s="146" t="s">
        <v>504</v>
      </c>
      <c r="BM5" t="s">
        <v>376</v>
      </c>
      <c r="BN5" s="167" t="s">
        <v>505</v>
      </c>
      <c r="BP5" s="146" t="s">
        <v>506</v>
      </c>
      <c r="BQ5" s="168" t="s">
        <v>507</v>
      </c>
      <c r="BR5" s="169" t="s">
        <v>508</v>
      </c>
      <c r="BS5" s="170" t="s">
        <v>509</v>
      </c>
      <c r="BT5" s="170" t="s">
        <v>510</v>
      </c>
      <c r="BU5" s="170" t="s">
        <v>511</v>
      </c>
      <c r="BV5" s="169" t="s">
        <v>512</v>
      </c>
      <c r="BW5" s="170"/>
      <c r="BX5" s="170"/>
      <c r="BY5" s="170"/>
      <c r="BZ5" s="170"/>
      <c r="CA5" s="170"/>
      <c r="CB5" s="170"/>
      <c r="CC5" s="170"/>
      <c r="CD5" s="170"/>
      <c r="CE5" s="170"/>
      <c r="CF5" s="170"/>
      <c r="CG5" s="170"/>
      <c r="CR5" s="146" t="s">
        <v>1421</v>
      </c>
      <c r="CS5" s="184"/>
    </row>
    <row r="6" spans="1:102" ht="18" x14ac:dyDescent="0.25">
      <c r="A6" s="146" t="s">
        <v>299</v>
      </c>
      <c r="B6" s="146" t="s">
        <v>514</v>
      </c>
      <c r="C6" s="146" t="s">
        <v>515</v>
      </c>
      <c r="D6" s="147"/>
      <c r="G6" s="56">
        <v>6</v>
      </c>
      <c r="H6" s="163" t="s">
        <v>516</v>
      </c>
      <c r="I6" s="150" t="s">
        <v>517</v>
      </c>
      <c r="J6" s="163" t="s">
        <v>518</v>
      </c>
      <c r="L6" s="190" t="s">
        <v>519</v>
      </c>
      <c r="M6" s="174" t="s">
        <v>216</v>
      </c>
      <c r="O6" s="176" t="s">
        <v>520</v>
      </c>
      <c r="R6" s="196" t="s">
        <v>521</v>
      </c>
      <c r="S6" s="195" t="s">
        <v>522</v>
      </c>
      <c r="V6" s="179" t="s">
        <v>523</v>
      </c>
      <c r="W6" s="161" t="s">
        <v>524</v>
      </c>
      <c r="X6" s="163" t="s">
        <v>525</v>
      </c>
      <c r="Y6" s="146" t="s">
        <v>526</v>
      </c>
      <c r="Z6" s="146" t="s">
        <v>527</v>
      </c>
      <c r="AA6" s="146" t="s">
        <v>528</v>
      </c>
      <c r="AB6" s="146" t="s">
        <v>529</v>
      </c>
      <c r="AE6" s="181" t="s">
        <v>530</v>
      </c>
      <c r="AF6" s="181" t="s">
        <v>531</v>
      </c>
      <c r="AG6" s="182" t="s">
        <v>532</v>
      </c>
      <c r="AH6" s="182"/>
      <c r="AI6" s="182"/>
      <c r="AK6" s="182" t="s">
        <v>533</v>
      </c>
      <c r="AL6" s="182" t="s">
        <v>534</v>
      </c>
      <c r="AM6" s="184" t="s">
        <v>535</v>
      </c>
      <c r="AN6" s="184"/>
      <c r="AO6" s="184"/>
      <c r="AU6" s="186">
        <v>1985</v>
      </c>
      <c r="AV6" s="166" t="s">
        <v>536</v>
      </c>
      <c r="AY6" t="s">
        <v>537</v>
      </c>
      <c r="AZ6" s="146" t="s">
        <v>538</v>
      </c>
      <c r="BB6" s="146" t="s">
        <v>538</v>
      </c>
      <c r="BC6" s="146" t="s">
        <v>539</v>
      </c>
      <c r="BD6" s="146" t="s">
        <v>540</v>
      </c>
      <c r="BE6" s="146" t="s">
        <v>541</v>
      </c>
      <c r="BF6" s="146" t="s">
        <v>542</v>
      </c>
      <c r="BG6" s="146" t="s">
        <v>543</v>
      </c>
      <c r="BM6" t="s">
        <v>331</v>
      </c>
      <c r="BN6" s="167" t="s">
        <v>333</v>
      </c>
      <c r="BP6" s="146" t="s">
        <v>544</v>
      </c>
      <c r="BQ6" s="168" t="s">
        <v>507</v>
      </c>
      <c r="BR6" s="169" t="s">
        <v>508</v>
      </c>
      <c r="BS6" s="170" t="s">
        <v>509</v>
      </c>
      <c r="BT6" s="170" t="s">
        <v>510</v>
      </c>
      <c r="BU6" s="170"/>
      <c r="BV6" s="170"/>
      <c r="BW6" s="170"/>
      <c r="BX6" s="170"/>
      <c r="BY6" s="170"/>
      <c r="BZ6" s="170"/>
      <c r="CA6" s="170"/>
      <c r="CB6" s="170"/>
      <c r="CC6" s="170"/>
      <c r="CD6" s="170"/>
      <c r="CE6" s="170"/>
      <c r="CF6" s="170"/>
      <c r="CG6" s="170"/>
      <c r="CR6" s="184"/>
      <c r="CS6" s="184"/>
    </row>
    <row r="7" spans="1:102" ht="18" x14ac:dyDescent="0.25">
      <c r="A7" s="146" t="s">
        <v>298</v>
      </c>
      <c r="B7" s="146" t="s">
        <v>545</v>
      </c>
      <c r="C7" s="146" t="s">
        <v>546</v>
      </c>
      <c r="G7" s="56">
        <v>7</v>
      </c>
      <c r="H7" s="163" t="s">
        <v>547</v>
      </c>
      <c r="I7" s="150" t="s">
        <v>548</v>
      </c>
      <c r="L7" s="173" t="s">
        <v>9</v>
      </c>
      <c r="M7" s="174" t="s">
        <v>216</v>
      </c>
      <c r="O7" s="176" t="s">
        <v>482</v>
      </c>
      <c r="R7" s="196" t="s">
        <v>549</v>
      </c>
      <c r="S7" s="195" t="s">
        <v>550</v>
      </c>
      <c r="T7" s="197"/>
      <c r="V7" s="160" t="s">
        <v>551</v>
      </c>
      <c r="W7" s="159" t="s">
        <v>321</v>
      </c>
      <c r="X7" s="163" t="s">
        <v>552</v>
      </c>
      <c r="Y7" s="146" t="s">
        <v>327</v>
      </c>
      <c r="Z7" s="146" t="s">
        <v>398</v>
      </c>
      <c r="AA7" s="146" t="s">
        <v>399</v>
      </c>
      <c r="AB7" s="146" t="s">
        <v>400</v>
      </c>
      <c r="AE7" s="182" t="s">
        <v>553</v>
      </c>
      <c r="AF7" s="182" t="s">
        <v>554</v>
      </c>
      <c r="AG7" s="182" t="s">
        <v>555</v>
      </c>
      <c r="AH7" s="182"/>
      <c r="AI7" s="182"/>
      <c r="AK7" s="182" t="s">
        <v>556</v>
      </c>
      <c r="AL7" s="182" t="s">
        <v>557</v>
      </c>
      <c r="AM7" s="184" t="s">
        <v>558</v>
      </c>
      <c r="AN7" s="184"/>
      <c r="AO7" s="184"/>
      <c r="AU7" s="186">
        <v>1986</v>
      </c>
      <c r="AV7" s="166" t="s">
        <v>559</v>
      </c>
      <c r="AY7" s="146" t="s">
        <v>560</v>
      </c>
      <c r="AZ7" s="146" t="s">
        <v>561</v>
      </c>
      <c r="BB7" s="146" t="s">
        <v>561</v>
      </c>
      <c r="BC7" s="146" t="s">
        <v>562</v>
      </c>
      <c r="BD7" s="146" t="s">
        <v>563</v>
      </c>
      <c r="BE7" s="146" t="s">
        <v>564</v>
      </c>
      <c r="BF7" s="146" t="s">
        <v>565</v>
      </c>
      <c r="BM7" s="146" t="s">
        <v>413</v>
      </c>
      <c r="BN7" s="600" t="s">
        <v>333</v>
      </c>
      <c r="BP7" s="146" t="s">
        <v>566</v>
      </c>
      <c r="BQ7" s="168" t="s">
        <v>567</v>
      </c>
      <c r="BR7" s="169" t="s">
        <v>335</v>
      </c>
      <c r="BS7" s="169" t="s">
        <v>336</v>
      </c>
      <c r="BT7" s="170"/>
      <c r="BU7" s="170"/>
      <c r="BV7" s="170"/>
      <c r="BW7" s="170"/>
      <c r="BX7" s="170"/>
      <c r="BY7" s="170"/>
      <c r="BZ7" s="170"/>
      <c r="CA7" s="170"/>
      <c r="CB7" s="170"/>
      <c r="CC7" s="170"/>
      <c r="CD7" s="170"/>
      <c r="CE7" s="170"/>
      <c r="CF7" s="170"/>
      <c r="CG7" s="170"/>
      <c r="CR7" s="184"/>
      <c r="CS7" s="184"/>
    </row>
    <row r="8" spans="1:102" ht="18" x14ac:dyDescent="0.25">
      <c r="A8" s="146" t="s">
        <v>297</v>
      </c>
      <c r="B8" s="146" t="s">
        <v>568</v>
      </c>
      <c r="C8" s="146" t="s">
        <v>569</v>
      </c>
      <c r="F8" s="176" t="s">
        <v>352</v>
      </c>
      <c r="G8" s="56">
        <v>8</v>
      </c>
      <c r="H8" s="163" t="s">
        <v>570</v>
      </c>
      <c r="I8" s="150" t="s">
        <v>571</v>
      </c>
      <c r="L8" s="198" t="s">
        <v>572</v>
      </c>
      <c r="M8" s="199" t="s">
        <v>573</v>
      </c>
      <c r="O8" s="176" t="s">
        <v>574</v>
      </c>
      <c r="R8" s="196" t="s">
        <v>575</v>
      </c>
      <c r="S8" s="195" t="s">
        <v>576</v>
      </c>
      <c r="T8" s="197"/>
      <c r="X8" s="163" t="s">
        <v>577</v>
      </c>
      <c r="Y8" s="146" t="s">
        <v>578</v>
      </c>
      <c r="Z8" s="146" t="s">
        <v>579</v>
      </c>
      <c r="AA8" s="146" t="s">
        <v>580</v>
      </c>
      <c r="AB8" s="146" t="s">
        <v>581</v>
      </c>
      <c r="AE8" s="181" t="s">
        <v>582</v>
      </c>
      <c r="AF8" s="181" t="s">
        <v>583</v>
      </c>
      <c r="AG8" s="182" t="s">
        <v>584</v>
      </c>
      <c r="AH8" s="182"/>
      <c r="AI8" s="182"/>
      <c r="AK8" s="182" t="s">
        <v>585</v>
      </c>
      <c r="AL8" s="182" t="s">
        <v>586</v>
      </c>
      <c r="AM8" s="184" t="s">
        <v>587</v>
      </c>
      <c r="AN8" s="184"/>
      <c r="AO8" s="184"/>
      <c r="AU8" s="186">
        <v>1987</v>
      </c>
      <c r="AV8" s="166" t="s">
        <v>588</v>
      </c>
      <c r="AY8" t="s">
        <v>589</v>
      </c>
      <c r="AZ8" s="146" t="s">
        <v>590</v>
      </c>
      <c r="BB8" s="146" t="s">
        <v>590</v>
      </c>
      <c r="BC8" s="146" t="s">
        <v>591</v>
      </c>
      <c r="BD8" s="146" t="s">
        <v>592</v>
      </c>
      <c r="BE8" s="146" t="s">
        <v>593</v>
      </c>
      <c r="BF8" s="146" t="s">
        <v>594</v>
      </c>
      <c r="BG8" s="146" t="s">
        <v>595</v>
      </c>
      <c r="BM8" t="s">
        <v>414</v>
      </c>
      <c r="BN8" s="167" t="s">
        <v>333</v>
      </c>
      <c r="BP8" s="146" t="s">
        <v>596</v>
      </c>
      <c r="BQ8" s="168" t="s">
        <v>597</v>
      </c>
      <c r="BR8" s="169"/>
      <c r="BS8" s="169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R8" s="184"/>
      <c r="CS8" s="184"/>
    </row>
    <row r="9" spans="1:102" ht="18" x14ac:dyDescent="0.25">
      <c r="A9" s="146" t="s">
        <v>296</v>
      </c>
      <c r="B9" s="146" t="s">
        <v>598</v>
      </c>
      <c r="C9" s="146" t="s">
        <v>599</v>
      </c>
      <c r="F9" s="176" t="s">
        <v>391</v>
      </c>
      <c r="G9" s="56">
        <v>9</v>
      </c>
      <c r="H9" s="163" t="s">
        <v>600</v>
      </c>
      <c r="I9" s="150" t="s">
        <v>601</v>
      </c>
      <c r="L9" s="200" t="s">
        <v>602</v>
      </c>
      <c r="M9" s="199" t="s">
        <v>573</v>
      </c>
      <c r="O9" s="176" t="s">
        <v>603</v>
      </c>
      <c r="R9" s="196" t="s">
        <v>604</v>
      </c>
      <c r="T9" s="197"/>
      <c r="X9" s="163" t="s">
        <v>605</v>
      </c>
      <c r="Y9" s="146" t="s">
        <v>327</v>
      </c>
      <c r="Z9" s="146" t="s">
        <v>398</v>
      </c>
      <c r="AA9" s="146" t="s">
        <v>399</v>
      </c>
      <c r="AB9" s="146" t="s">
        <v>400</v>
      </c>
      <c r="AE9" s="182" t="s">
        <v>606</v>
      </c>
      <c r="AF9" s="182" t="s">
        <v>607</v>
      </c>
      <c r="AG9" s="182" t="s">
        <v>608</v>
      </c>
      <c r="AH9" s="182"/>
      <c r="AI9" s="182"/>
      <c r="AK9" s="182" t="s">
        <v>609</v>
      </c>
      <c r="AL9" s="182" t="s">
        <v>610</v>
      </c>
      <c r="AM9" s="184" t="s">
        <v>584</v>
      </c>
      <c r="AN9" s="184"/>
      <c r="AO9" s="184"/>
      <c r="AU9" s="186">
        <v>1988</v>
      </c>
      <c r="AV9" s="166" t="s">
        <v>611</v>
      </c>
      <c r="AY9" s="146" t="s">
        <v>612</v>
      </c>
      <c r="AZ9" s="146" t="s">
        <v>613</v>
      </c>
      <c r="BB9" s="146" t="s">
        <v>613</v>
      </c>
      <c r="BC9" s="146" t="s">
        <v>614</v>
      </c>
      <c r="BM9" s="146" t="s">
        <v>415</v>
      </c>
      <c r="BN9" s="600" t="s">
        <v>333</v>
      </c>
      <c r="BP9" s="146" t="s">
        <v>615</v>
      </c>
      <c r="BQ9" s="168" t="s">
        <v>616</v>
      </c>
      <c r="BR9" s="169" t="s">
        <v>617</v>
      </c>
      <c r="BS9" s="169"/>
      <c r="BT9" s="170"/>
      <c r="BU9" s="170"/>
      <c r="BV9" s="170"/>
      <c r="BW9" s="170"/>
      <c r="BX9" s="170"/>
      <c r="BY9" s="170"/>
      <c r="BZ9" s="170"/>
      <c r="CA9" s="170"/>
      <c r="CB9" s="170"/>
      <c r="CC9" s="170"/>
      <c r="CD9" s="170"/>
      <c r="CE9" s="170"/>
      <c r="CF9" s="170"/>
      <c r="CG9" s="170"/>
      <c r="CR9" s="184"/>
      <c r="CS9" s="184"/>
    </row>
    <row r="10" spans="1:102" ht="18" x14ac:dyDescent="0.25">
      <c r="A10" s="146" t="s">
        <v>295</v>
      </c>
      <c r="B10" s="146" t="s">
        <v>619</v>
      </c>
      <c r="F10" s="176" t="s">
        <v>429</v>
      </c>
      <c r="G10" s="56">
        <v>10</v>
      </c>
      <c r="H10" s="163" t="s">
        <v>9</v>
      </c>
      <c r="I10" s="150" t="s">
        <v>620</v>
      </c>
      <c r="L10" s="200" t="s">
        <v>621</v>
      </c>
      <c r="M10" s="201" t="s">
        <v>622</v>
      </c>
      <c r="O10" s="176" t="s">
        <v>623</v>
      </c>
      <c r="R10" s="178" t="s">
        <v>624</v>
      </c>
      <c r="T10" s="202"/>
      <c r="X10" s="163" t="s">
        <v>625</v>
      </c>
      <c r="Y10" s="146" t="s">
        <v>327</v>
      </c>
      <c r="Z10" s="146" t="s">
        <v>398</v>
      </c>
      <c r="AA10" s="146" t="s">
        <v>399</v>
      </c>
      <c r="AB10" s="146" t="s">
        <v>400</v>
      </c>
      <c r="AE10" s="181" t="s">
        <v>626</v>
      </c>
      <c r="AF10" s="181" t="s">
        <v>627</v>
      </c>
      <c r="AG10" s="182" t="s">
        <v>558</v>
      </c>
      <c r="AH10" s="182"/>
      <c r="AI10" s="182"/>
      <c r="AK10" s="182" t="s">
        <v>628</v>
      </c>
      <c r="AL10" s="182" t="s">
        <v>629</v>
      </c>
      <c r="AM10" s="184" t="s">
        <v>630</v>
      </c>
      <c r="AN10" s="184"/>
      <c r="AO10" s="184"/>
      <c r="AU10" s="186">
        <v>1989</v>
      </c>
      <c r="AV10" s="203" t="s">
        <v>631</v>
      </c>
      <c r="AY10" t="s">
        <v>632</v>
      </c>
      <c r="AZ10" s="146" t="s">
        <v>633</v>
      </c>
      <c r="BB10" s="146" t="s">
        <v>633</v>
      </c>
      <c r="BC10" s="146" t="s">
        <v>634</v>
      </c>
      <c r="BM10" t="s">
        <v>416</v>
      </c>
      <c r="BN10" s="167" t="s">
        <v>333</v>
      </c>
      <c r="BP10" s="146" t="s">
        <v>635</v>
      </c>
      <c r="BQ10" s="168" t="s">
        <v>636</v>
      </c>
      <c r="BR10" s="170"/>
      <c r="BS10" s="170"/>
      <c r="BT10" s="170"/>
      <c r="BU10" s="170"/>
      <c r="BV10" s="170"/>
      <c r="BW10" s="170"/>
      <c r="BX10" s="170"/>
      <c r="BY10" s="170"/>
      <c r="BZ10" s="170"/>
      <c r="CA10" s="170"/>
      <c r="CB10" s="170"/>
      <c r="CC10" s="170"/>
      <c r="CD10" s="170"/>
      <c r="CE10" s="170"/>
      <c r="CF10" s="170"/>
      <c r="CG10" s="170"/>
      <c r="CR10" s="184"/>
      <c r="CS10" s="184"/>
    </row>
    <row r="11" spans="1:102" ht="18" x14ac:dyDescent="0.25">
      <c r="A11" s="146" t="s">
        <v>294</v>
      </c>
      <c r="B11" s="146" t="s">
        <v>637</v>
      </c>
      <c r="F11" s="176" t="s">
        <v>480</v>
      </c>
      <c r="G11" s="56">
        <v>11</v>
      </c>
      <c r="I11" s="150" t="s">
        <v>638</v>
      </c>
      <c r="L11" s="200" t="s">
        <v>639</v>
      </c>
      <c r="M11" s="201" t="s">
        <v>622</v>
      </c>
      <c r="O11" s="176" t="s">
        <v>640</v>
      </c>
      <c r="R11" s="204" t="s">
        <v>641</v>
      </c>
      <c r="T11" s="202"/>
      <c r="X11" s="163" t="s">
        <v>642</v>
      </c>
      <c r="Y11" s="146" t="s">
        <v>643</v>
      </c>
      <c r="Z11" s="146" t="s">
        <v>644</v>
      </c>
      <c r="AA11" s="146" t="s">
        <v>645</v>
      </c>
      <c r="AB11" s="146" t="s">
        <v>646</v>
      </c>
      <c r="AE11" s="181" t="s">
        <v>647</v>
      </c>
      <c r="AF11" s="181" t="s">
        <v>648</v>
      </c>
      <c r="AG11" s="149" t="s">
        <v>649</v>
      </c>
      <c r="AH11" s="182"/>
      <c r="AI11" s="182"/>
      <c r="AK11" s="182" t="s">
        <v>650</v>
      </c>
      <c r="AL11" s="182" t="s">
        <v>651</v>
      </c>
      <c r="AM11" s="184" t="s">
        <v>652</v>
      </c>
      <c r="AN11" s="184"/>
      <c r="AO11" s="184"/>
      <c r="AU11" s="186">
        <v>1990</v>
      </c>
      <c r="AV11" s="203" t="s">
        <v>653</v>
      </c>
      <c r="AY11" t="s">
        <v>9</v>
      </c>
      <c r="AZ11" s="146" t="s">
        <v>654</v>
      </c>
      <c r="BB11" s="146" t="s">
        <v>654</v>
      </c>
      <c r="BC11" s="146" t="s">
        <v>655</v>
      </c>
      <c r="BD11" s="146" t="s">
        <v>656</v>
      </c>
      <c r="BE11" s="146" t="s">
        <v>657</v>
      </c>
      <c r="BF11" s="146" t="s">
        <v>658</v>
      </c>
      <c r="BM11" t="s">
        <v>417</v>
      </c>
      <c r="BN11" s="167" t="s">
        <v>333</v>
      </c>
      <c r="BP11" s="146" t="s">
        <v>659</v>
      </c>
      <c r="BQ11" s="168" t="s">
        <v>512</v>
      </c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0"/>
      <c r="CR11" s="184"/>
      <c r="CS11" s="184"/>
    </row>
    <row r="12" spans="1:102" ht="18" x14ac:dyDescent="0.25">
      <c r="A12" s="146" t="s">
        <v>293</v>
      </c>
      <c r="B12" s="146" t="s">
        <v>660</v>
      </c>
      <c r="F12" s="176" t="s">
        <v>520</v>
      </c>
      <c r="G12" s="56">
        <v>12</v>
      </c>
      <c r="I12" s="150" t="s">
        <v>661</v>
      </c>
      <c r="L12" s="200" t="s">
        <v>662</v>
      </c>
      <c r="M12" s="201" t="s">
        <v>573</v>
      </c>
      <c r="O12" s="176" t="s">
        <v>663</v>
      </c>
      <c r="R12" s="205" t="s">
        <v>664</v>
      </c>
      <c r="T12" s="202"/>
      <c r="V12" s="206"/>
      <c r="X12" s="163" t="s">
        <v>665</v>
      </c>
      <c r="Y12" s="146" t="s">
        <v>666</v>
      </c>
      <c r="Z12" s="146" t="s">
        <v>667</v>
      </c>
      <c r="AA12" s="146" t="s">
        <v>668</v>
      </c>
      <c r="AB12" s="146" t="s">
        <v>669</v>
      </c>
      <c r="AE12" s="181" t="s">
        <v>670</v>
      </c>
      <c r="AF12" s="181" t="s">
        <v>671</v>
      </c>
      <c r="AG12" s="149"/>
      <c r="AH12" s="182"/>
      <c r="AI12" s="182"/>
      <c r="AK12" s="182" t="s">
        <v>672</v>
      </c>
      <c r="AL12" s="182" t="s">
        <v>673</v>
      </c>
      <c r="AM12" s="184" t="s">
        <v>674</v>
      </c>
      <c r="AN12" s="184"/>
      <c r="AO12" s="184"/>
      <c r="AU12" s="186">
        <v>1991</v>
      </c>
      <c r="AV12" s="203" t="s">
        <v>675</v>
      </c>
      <c r="AY12" t="s">
        <v>676</v>
      </c>
      <c r="AZ12" s="146" t="s">
        <v>677</v>
      </c>
      <c r="BB12" s="146" t="s">
        <v>677</v>
      </c>
      <c r="BC12" s="146" t="s">
        <v>678</v>
      </c>
      <c r="BD12" s="146" t="s">
        <v>679</v>
      </c>
      <c r="BE12" s="146" t="s">
        <v>680</v>
      </c>
      <c r="BF12" s="146" t="s">
        <v>681</v>
      </c>
      <c r="BG12" s="146" t="s">
        <v>682</v>
      </c>
      <c r="BH12" s="146" t="s">
        <v>683</v>
      </c>
      <c r="BI12" s="146" t="s">
        <v>684</v>
      </c>
      <c r="BJ12" s="146" t="s">
        <v>685</v>
      </c>
      <c r="BK12" s="146" t="s">
        <v>686</v>
      </c>
      <c r="BL12" s="146" t="s">
        <v>687</v>
      </c>
      <c r="BM12" t="s">
        <v>450</v>
      </c>
      <c r="BN12" s="167" t="s">
        <v>333</v>
      </c>
      <c r="BP12" s="146" t="s">
        <v>688</v>
      </c>
      <c r="BQ12" s="168" t="s">
        <v>336</v>
      </c>
      <c r="BR12" s="169" t="s">
        <v>335</v>
      </c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0"/>
      <c r="CR12" s="184"/>
      <c r="CS12" s="184"/>
    </row>
    <row r="13" spans="1:102" ht="18" x14ac:dyDescent="0.25">
      <c r="F13" s="176" t="s">
        <v>482</v>
      </c>
      <c r="G13" s="56">
        <v>13</v>
      </c>
      <c r="I13" s="150" t="s">
        <v>689</v>
      </c>
      <c r="L13" s="200" t="s">
        <v>690</v>
      </c>
      <c r="M13" s="201" t="s">
        <v>573</v>
      </c>
      <c r="O13" s="176" t="s">
        <v>691</v>
      </c>
      <c r="R13" s="178" t="s">
        <v>692</v>
      </c>
      <c r="V13" s="125"/>
      <c r="X13" s="163" t="s">
        <v>693</v>
      </c>
      <c r="Y13" s="146" t="s">
        <v>327</v>
      </c>
      <c r="Z13" s="146" t="s">
        <v>398</v>
      </c>
      <c r="AA13" s="146" t="s">
        <v>399</v>
      </c>
      <c r="AB13" s="146" t="s">
        <v>400</v>
      </c>
      <c r="AE13" s="181" t="s">
        <v>694</v>
      </c>
      <c r="AF13" s="181" t="s">
        <v>695</v>
      </c>
      <c r="AG13" s="182"/>
      <c r="AH13" s="182"/>
      <c r="AI13" s="182"/>
      <c r="AK13" s="182" t="s">
        <v>672</v>
      </c>
      <c r="AL13" s="182" t="s">
        <v>340</v>
      </c>
      <c r="AM13" s="184" t="s">
        <v>696</v>
      </c>
      <c r="AN13" s="184"/>
      <c r="AO13" s="184"/>
      <c r="AU13" s="186">
        <v>1992</v>
      </c>
      <c r="AV13" s="166" t="s">
        <v>697</v>
      </c>
      <c r="AY13" t="s">
        <v>698</v>
      </c>
      <c r="AZ13" s="146" t="s">
        <v>699</v>
      </c>
      <c r="BB13" s="146" t="s">
        <v>699</v>
      </c>
      <c r="BC13" s="146" t="s">
        <v>700</v>
      </c>
      <c r="BD13" s="146" t="s">
        <v>701</v>
      </c>
      <c r="BE13" s="146" t="s">
        <v>702</v>
      </c>
      <c r="BF13" s="146" t="s">
        <v>703</v>
      </c>
      <c r="BG13" s="146" t="s">
        <v>704</v>
      </c>
      <c r="BM13" t="s">
        <v>451</v>
      </c>
      <c r="BN13" s="167" t="s">
        <v>333</v>
      </c>
      <c r="BP13" s="146" t="s">
        <v>705</v>
      </c>
      <c r="BQ13" s="168" t="s">
        <v>706</v>
      </c>
      <c r="BR13" s="169" t="s">
        <v>335</v>
      </c>
      <c r="BS13" s="169" t="s">
        <v>336</v>
      </c>
      <c r="BT13" s="169" t="s">
        <v>707</v>
      </c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R13" s="597"/>
      <c r="CS13" s="597"/>
    </row>
    <row r="14" spans="1:102" ht="18" x14ac:dyDescent="0.25">
      <c r="F14" s="176" t="s">
        <v>574</v>
      </c>
      <c r="G14" s="56">
        <v>14</v>
      </c>
      <c r="I14" s="150" t="s">
        <v>708</v>
      </c>
      <c r="L14" s="207" t="s">
        <v>709</v>
      </c>
      <c r="M14" s="208" t="s">
        <v>622</v>
      </c>
      <c r="O14" s="176" t="s">
        <v>710</v>
      </c>
      <c r="R14" s="204" t="s">
        <v>711</v>
      </c>
      <c r="V14" s="206"/>
      <c r="X14" s="163" t="s">
        <v>537</v>
      </c>
      <c r="Y14" s="146" t="s">
        <v>712</v>
      </c>
      <c r="Z14" s="146" t="s">
        <v>713</v>
      </c>
      <c r="AA14" s="146" t="s">
        <v>714</v>
      </c>
      <c r="AB14" s="146" t="s">
        <v>715</v>
      </c>
      <c r="AE14" s="181" t="s">
        <v>716</v>
      </c>
      <c r="AF14" s="181" t="s">
        <v>717</v>
      </c>
      <c r="AG14" s="182"/>
      <c r="AH14" s="182"/>
      <c r="AI14" s="182"/>
      <c r="AK14" s="182" t="s">
        <v>718</v>
      </c>
      <c r="AL14" s="182" t="s">
        <v>673</v>
      </c>
      <c r="AM14" s="184" t="s">
        <v>719</v>
      </c>
      <c r="AN14" s="184"/>
      <c r="AO14" s="184"/>
      <c r="AU14" s="186">
        <v>1993</v>
      </c>
      <c r="AV14" s="203" t="s">
        <v>720</v>
      </c>
      <c r="AY14" t="s">
        <v>721</v>
      </c>
      <c r="AZ14" s="146" t="s">
        <v>722</v>
      </c>
      <c r="BB14" s="146" t="s">
        <v>722</v>
      </c>
      <c r="BC14" s="146" t="s">
        <v>723</v>
      </c>
      <c r="BD14" s="146" t="s">
        <v>724</v>
      </c>
      <c r="BM14" t="s">
        <v>452</v>
      </c>
      <c r="BN14" s="167" t="s">
        <v>333</v>
      </c>
      <c r="BP14" s="146" t="s">
        <v>725</v>
      </c>
      <c r="BQ14" s="168" t="s">
        <v>726</v>
      </c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0"/>
      <c r="CR14" s="184"/>
      <c r="CS14" s="184"/>
    </row>
    <row r="15" spans="1:102" ht="18" x14ac:dyDescent="0.25">
      <c r="F15" s="176" t="s">
        <v>603</v>
      </c>
      <c r="G15" s="56">
        <v>15</v>
      </c>
      <c r="I15" s="150" t="s">
        <v>727</v>
      </c>
      <c r="L15" s="207" t="s">
        <v>728</v>
      </c>
      <c r="M15" s="208" t="s">
        <v>622</v>
      </c>
      <c r="O15" s="176" t="s">
        <v>729</v>
      </c>
      <c r="R15" s="204" t="s">
        <v>730</v>
      </c>
      <c r="X15" s="163" t="s">
        <v>731</v>
      </c>
      <c r="Y15" s="146" t="s">
        <v>732</v>
      </c>
      <c r="Z15" s="146" t="s">
        <v>733</v>
      </c>
      <c r="AA15" s="146" t="s">
        <v>734</v>
      </c>
      <c r="AB15" s="146" t="s">
        <v>735</v>
      </c>
      <c r="AE15" s="181" t="s">
        <v>736</v>
      </c>
      <c r="AF15" s="181" t="s">
        <v>737</v>
      </c>
      <c r="AG15" s="182"/>
      <c r="AH15" s="182"/>
      <c r="AI15" s="182"/>
      <c r="AK15" s="182" t="s">
        <v>738</v>
      </c>
      <c r="AL15" s="182" t="s">
        <v>739</v>
      </c>
      <c r="AM15" s="182" t="s">
        <v>649</v>
      </c>
      <c r="AN15" s="182"/>
      <c r="AO15" s="182"/>
      <c r="AU15" s="186">
        <v>1994</v>
      </c>
      <c r="AV15" s="166" t="s">
        <v>740</v>
      </c>
      <c r="AY15" t="s">
        <v>741</v>
      </c>
      <c r="AZ15" s="146" t="s">
        <v>742</v>
      </c>
      <c r="BB15" s="146" t="s">
        <v>742</v>
      </c>
      <c r="BC15" s="146" t="s">
        <v>743</v>
      </c>
      <c r="BD15" s="146" t="s">
        <v>744</v>
      </c>
      <c r="BM15" t="s">
        <v>453</v>
      </c>
      <c r="BN15" s="167" t="s">
        <v>333</v>
      </c>
      <c r="BP15" s="146" t="s">
        <v>745</v>
      </c>
      <c r="BQ15" s="168" t="s">
        <v>746</v>
      </c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R15" s="597"/>
      <c r="CS15" s="597"/>
    </row>
    <row r="16" spans="1:102" ht="18" x14ac:dyDescent="0.25">
      <c r="F16" s="176" t="s">
        <v>623</v>
      </c>
      <c r="G16" s="56">
        <v>16</v>
      </c>
      <c r="I16" s="150" t="s">
        <v>749</v>
      </c>
      <c r="L16" s="209"/>
      <c r="M16" s="210"/>
      <c r="O16" s="176" t="s">
        <v>750</v>
      </c>
      <c r="R16" s="204" t="s">
        <v>751</v>
      </c>
      <c r="X16" s="163" t="s">
        <v>752</v>
      </c>
      <c r="Y16" s="146" t="s">
        <v>753</v>
      </c>
      <c r="Z16" s="146" t="s">
        <v>754</v>
      </c>
      <c r="AA16" s="146" t="s">
        <v>755</v>
      </c>
      <c r="AB16" s="146" t="s">
        <v>756</v>
      </c>
      <c r="AE16" s="181" t="s">
        <v>757</v>
      </c>
      <c r="AF16" s="181" t="s">
        <v>737</v>
      </c>
      <c r="AG16" s="182"/>
      <c r="AH16" s="182"/>
      <c r="AI16" s="182"/>
      <c r="AK16" s="182" t="s">
        <v>758</v>
      </c>
      <c r="AL16" s="182" t="s">
        <v>759</v>
      </c>
      <c r="AM16" s="211"/>
      <c r="AN16" s="182"/>
      <c r="AO16" s="182"/>
      <c r="AU16" s="186">
        <v>1995</v>
      </c>
      <c r="AV16" s="203" t="s">
        <v>760</v>
      </c>
      <c r="BM16" t="s">
        <v>499</v>
      </c>
      <c r="BN16" s="167" t="s">
        <v>333</v>
      </c>
      <c r="BP16" s="146" t="s">
        <v>761</v>
      </c>
      <c r="BQ16" s="168" t="s">
        <v>762</v>
      </c>
      <c r="BR16" s="169" t="s">
        <v>763</v>
      </c>
      <c r="BS16" s="169" t="s">
        <v>335</v>
      </c>
      <c r="BT16" s="169" t="s">
        <v>336</v>
      </c>
      <c r="BU16" s="169" t="s">
        <v>567</v>
      </c>
      <c r="BV16" s="169" t="s">
        <v>512</v>
      </c>
      <c r="BW16" s="169" t="s">
        <v>764</v>
      </c>
      <c r="BX16" s="169" t="s">
        <v>765</v>
      </c>
      <c r="BY16" s="169" t="s">
        <v>766</v>
      </c>
      <c r="BZ16" s="169" t="s">
        <v>767</v>
      </c>
      <c r="CA16" s="169" t="s">
        <v>707</v>
      </c>
      <c r="CB16" s="169"/>
      <c r="CC16" s="169"/>
      <c r="CD16" s="169"/>
      <c r="CE16" s="169"/>
      <c r="CF16" s="169"/>
      <c r="CG16" s="169"/>
      <c r="CR16" s="184"/>
      <c r="CS16" s="184"/>
    </row>
    <row r="17" spans="6:97" ht="18" x14ac:dyDescent="0.25">
      <c r="F17" s="176" t="s">
        <v>640</v>
      </c>
      <c r="G17" s="56">
        <v>17</v>
      </c>
      <c r="I17" s="150" t="s">
        <v>769</v>
      </c>
      <c r="O17" s="176" t="s">
        <v>770</v>
      </c>
      <c r="R17" s="204" t="s">
        <v>771</v>
      </c>
      <c r="X17" s="163" t="s">
        <v>632</v>
      </c>
      <c r="Y17" s="146" t="s">
        <v>772</v>
      </c>
      <c r="Z17" s="146" t="s">
        <v>773</v>
      </c>
      <c r="AA17" s="146" t="s">
        <v>774</v>
      </c>
      <c r="AB17" s="146" t="s">
        <v>775</v>
      </c>
      <c r="AE17" s="181" t="s">
        <v>776</v>
      </c>
      <c r="AF17" s="181" t="s">
        <v>777</v>
      </c>
      <c r="AG17" s="182"/>
      <c r="AH17" s="182"/>
      <c r="AI17" s="182"/>
      <c r="AK17" s="182" t="s">
        <v>778</v>
      </c>
      <c r="AL17" s="182" t="s">
        <v>779</v>
      </c>
      <c r="AM17" s="182"/>
      <c r="AN17" s="182"/>
      <c r="AO17" s="182"/>
      <c r="AU17" s="186">
        <v>1996</v>
      </c>
      <c r="AV17" s="166" t="s">
        <v>780</v>
      </c>
      <c r="AY17"/>
      <c r="BM17" t="s">
        <v>500</v>
      </c>
      <c r="BN17" s="167" t="s">
        <v>418</v>
      </c>
      <c r="BP17" s="146" t="s">
        <v>781</v>
      </c>
      <c r="BQ17" s="168" t="s">
        <v>508</v>
      </c>
      <c r="BR17" s="170" t="s">
        <v>510</v>
      </c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0"/>
      <c r="CR17" s="597"/>
      <c r="CS17" s="597"/>
    </row>
    <row r="18" spans="6:97" ht="18" x14ac:dyDescent="0.25">
      <c r="F18" s="176" t="s">
        <v>663</v>
      </c>
      <c r="G18" s="56">
        <v>18</v>
      </c>
      <c r="I18" s="150" t="s">
        <v>782</v>
      </c>
      <c r="O18" s="176" t="s">
        <v>783</v>
      </c>
      <c r="R18" s="178" t="s">
        <v>784</v>
      </c>
      <c r="AE18" s="181" t="s">
        <v>785</v>
      </c>
      <c r="AF18" s="181" t="s">
        <v>786</v>
      </c>
      <c r="AG18" s="182"/>
      <c r="AH18" s="182"/>
      <c r="AI18" s="182"/>
      <c r="AK18" s="182" t="s">
        <v>787</v>
      </c>
      <c r="AL18" s="182" t="s">
        <v>788</v>
      </c>
      <c r="AM18" s="182"/>
      <c r="AN18" s="182"/>
      <c r="AO18" s="182"/>
      <c r="AU18" s="186">
        <v>1997</v>
      </c>
      <c r="AV18" s="166" t="s">
        <v>789</v>
      </c>
      <c r="BM18" t="s">
        <v>501</v>
      </c>
      <c r="BN18" s="167" t="s">
        <v>333</v>
      </c>
      <c r="BP18" s="146" t="s">
        <v>790</v>
      </c>
      <c r="BQ18" s="168" t="s">
        <v>507</v>
      </c>
      <c r="BR18" s="169" t="s">
        <v>508</v>
      </c>
      <c r="BS18" s="170" t="s">
        <v>509</v>
      </c>
      <c r="BT18" s="170" t="s">
        <v>510</v>
      </c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0"/>
      <c r="CR18" s="184"/>
      <c r="CS18" s="184"/>
    </row>
    <row r="19" spans="6:97" ht="18" x14ac:dyDescent="0.25">
      <c r="F19" s="176" t="s">
        <v>691</v>
      </c>
      <c r="G19" s="56">
        <v>19</v>
      </c>
      <c r="I19" s="150" t="s">
        <v>791</v>
      </c>
      <c r="O19" s="176" t="s">
        <v>576</v>
      </c>
      <c r="R19" s="212" t="s">
        <v>792</v>
      </c>
      <c r="AE19" s="181" t="s">
        <v>793</v>
      </c>
      <c r="AF19" s="181" t="s">
        <v>794</v>
      </c>
      <c r="AG19" s="182"/>
      <c r="AH19" s="182"/>
      <c r="AI19" s="182"/>
      <c r="AK19" s="182" t="s">
        <v>364</v>
      </c>
      <c r="AL19" s="182" t="s">
        <v>365</v>
      </c>
      <c r="AM19" s="182"/>
      <c r="AN19" s="182"/>
      <c r="AO19" s="182"/>
      <c r="AU19" s="186">
        <v>1998</v>
      </c>
      <c r="AV19" s="203" t="s">
        <v>795</v>
      </c>
      <c r="BM19" t="s">
        <v>502</v>
      </c>
      <c r="BN19" s="167" t="s">
        <v>333</v>
      </c>
      <c r="BP19" s="146" t="s">
        <v>796</v>
      </c>
      <c r="BQ19" s="168" t="s">
        <v>507</v>
      </c>
      <c r="BR19" s="169" t="s">
        <v>508</v>
      </c>
      <c r="BS19" s="170" t="s">
        <v>509</v>
      </c>
      <c r="BT19" s="170" t="s">
        <v>510</v>
      </c>
      <c r="BU19" s="170"/>
      <c r="BV19" s="170"/>
      <c r="BW19" s="170"/>
      <c r="BX19" s="170"/>
      <c r="BY19" s="170"/>
      <c r="BZ19" s="170"/>
      <c r="CA19" s="170"/>
      <c r="CB19" s="170"/>
      <c r="CC19" s="170"/>
      <c r="CD19" s="170"/>
      <c r="CE19" s="170"/>
      <c r="CF19" s="170"/>
      <c r="CG19" s="170"/>
      <c r="CR19" s="184"/>
      <c r="CS19" s="184"/>
    </row>
    <row r="20" spans="6:97" ht="18.75" thickBot="1" x14ac:dyDescent="0.3">
      <c r="F20" s="176" t="s">
        <v>710</v>
      </c>
      <c r="G20" s="56">
        <v>20</v>
      </c>
      <c r="I20" s="150" t="s">
        <v>797</v>
      </c>
      <c r="O20" s="213" t="s">
        <v>522</v>
      </c>
      <c r="R20" s="212" t="s">
        <v>798</v>
      </c>
      <c r="AE20" s="181" t="s">
        <v>799</v>
      </c>
      <c r="AF20" s="181" t="s">
        <v>800</v>
      </c>
      <c r="AG20" s="182"/>
      <c r="AH20" s="182"/>
      <c r="AI20" s="182"/>
      <c r="AK20" s="182" t="s">
        <v>801</v>
      </c>
      <c r="AL20" s="182" t="s">
        <v>802</v>
      </c>
      <c r="AM20" s="182"/>
      <c r="AN20" s="182"/>
      <c r="AO20" s="182"/>
      <c r="AU20" s="186">
        <v>1999</v>
      </c>
      <c r="AV20" s="166" t="s">
        <v>803</v>
      </c>
      <c r="BM20" t="s">
        <v>503</v>
      </c>
      <c r="BN20" s="167" t="s">
        <v>505</v>
      </c>
      <c r="BP20" s="146" t="s">
        <v>804</v>
      </c>
      <c r="BQ20" s="214" t="s">
        <v>763</v>
      </c>
      <c r="BR20" s="215" t="s">
        <v>336</v>
      </c>
      <c r="BS20" s="215" t="s">
        <v>764</v>
      </c>
      <c r="BT20" s="216"/>
      <c r="BU20" s="216"/>
      <c r="BV20" s="216"/>
      <c r="BW20" s="216"/>
      <c r="BX20" s="216"/>
      <c r="BY20" s="216"/>
      <c r="BZ20" s="216"/>
      <c r="CA20" s="216"/>
      <c r="CB20" s="216"/>
      <c r="CC20" s="216"/>
      <c r="CD20" s="216"/>
      <c r="CE20" s="216"/>
      <c r="CF20" s="216"/>
      <c r="CG20" s="216"/>
      <c r="CR20" s="184"/>
      <c r="CS20" s="184"/>
    </row>
    <row r="21" spans="6:97" ht="18" x14ac:dyDescent="0.25">
      <c r="F21" s="176" t="s">
        <v>729</v>
      </c>
      <c r="G21" s="56">
        <v>21</v>
      </c>
      <c r="I21" s="150" t="s">
        <v>805</v>
      </c>
      <c r="O21" s="217" t="s">
        <v>9</v>
      </c>
      <c r="AE21" s="181" t="s">
        <v>806</v>
      </c>
      <c r="AF21" s="181" t="s">
        <v>807</v>
      </c>
      <c r="AG21" s="182"/>
      <c r="AH21" s="182"/>
      <c r="AI21" s="182"/>
      <c r="AK21" s="182" t="s">
        <v>808</v>
      </c>
      <c r="AL21" s="182" t="s">
        <v>737</v>
      </c>
      <c r="AM21" s="182"/>
      <c r="AN21" s="182"/>
      <c r="AO21" s="182"/>
      <c r="AU21" s="186">
        <v>2000</v>
      </c>
      <c r="AV21" s="203" t="s">
        <v>809</v>
      </c>
      <c r="AY21"/>
      <c r="BM21" t="s">
        <v>504</v>
      </c>
      <c r="BN21" s="167" t="s">
        <v>333</v>
      </c>
      <c r="BP21" s="146" t="s">
        <v>810</v>
      </c>
      <c r="BQ21" s="192"/>
      <c r="BR21" s="170"/>
      <c r="CR21" s="184"/>
      <c r="CS21" s="184"/>
    </row>
    <row r="22" spans="6:97" ht="18" x14ac:dyDescent="0.25">
      <c r="F22" s="176" t="s">
        <v>750</v>
      </c>
      <c r="G22" s="56">
        <v>22</v>
      </c>
      <c r="I22" s="150" t="s">
        <v>811</v>
      </c>
      <c r="AE22" s="181" t="s">
        <v>747</v>
      </c>
      <c r="AF22" s="181" t="s">
        <v>748</v>
      </c>
      <c r="AG22" s="182"/>
      <c r="AH22" s="182"/>
      <c r="AI22" s="182"/>
      <c r="AK22" s="182" t="s">
        <v>812</v>
      </c>
      <c r="AL22" s="182" t="s">
        <v>813</v>
      </c>
      <c r="AM22" s="182"/>
      <c r="AN22" s="182"/>
      <c r="AO22" s="182"/>
      <c r="AU22" s="186">
        <v>2001</v>
      </c>
      <c r="AV22" s="166" t="s">
        <v>814</v>
      </c>
      <c r="BM22" t="s">
        <v>539</v>
      </c>
      <c r="BN22" s="167" t="s">
        <v>377</v>
      </c>
      <c r="BP22" s="146" t="s">
        <v>815</v>
      </c>
      <c r="BQ22" s="192" t="s">
        <v>816</v>
      </c>
      <c r="BR22" s="170"/>
      <c r="CR22" s="184"/>
      <c r="CS22" s="184"/>
    </row>
    <row r="23" spans="6:97" ht="18" x14ac:dyDescent="0.25">
      <c r="F23" s="176" t="s">
        <v>770</v>
      </c>
      <c r="G23" s="56">
        <v>23</v>
      </c>
      <c r="I23" s="150" t="s">
        <v>817</v>
      </c>
      <c r="AE23" s="181" t="s">
        <v>818</v>
      </c>
      <c r="AF23" s="181" t="s">
        <v>748</v>
      </c>
      <c r="AG23" s="182"/>
      <c r="AH23" s="182"/>
      <c r="AI23" s="182"/>
      <c r="AK23" s="182" t="s">
        <v>819</v>
      </c>
      <c r="AL23" s="182" t="s">
        <v>820</v>
      </c>
      <c r="AM23" s="182"/>
      <c r="AN23" s="182"/>
      <c r="AO23" s="182"/>
      <c r="AU23" s="186">
        <v>2002</v>
      </c>
      <c r="AV23" s="166" t="s">
        <v>821</v>
      </c>
      <c r="BM23" t="s">
        <v>540</v>
      </c>
      <c r="BN23" s="167" t="s">
        <v>377</v>
      </c>
      <c r="BP23" s="146" t="s">
        <v>822</v>
      </c>
      <c r="BQ23" s="192"/>
      <c r="BR23" s="170"/>
      <c r="CR23" s="184"/>
      <c r="CS23" s="184"/>
    </row>
    <row r="24" spans="6:97" ht="18" x14ac:dyDescent="0.25">
      <c r="F24" s="176" t="s">
        <v>783</v>
      </c>
      <c r="G24" s="56">
        <v>24</v>
      </c>
      <c r="I24" s="150" t="s">
        <v>824</v>
      </c>
      <c r="AE24" s="181" t="s">
        <v>825</v>
      </c>
      <c r="AF24" s="181" t="s">
        <v>748</v>
      </c>
      <c r="AG24" s="182"/>
      <c r="AH24" s="182"/>
      <c r="AI24" s="182"/>
      <c r="AK24" s="182" t="s">
        <v>826</v>
      </c>
      <c r="AL24" s="182" t="s">
        <v>827</v>
      </c>
      <c r="AM24" s="182"/>
      <c r="AN24" s="182"/>
      <c r="AO24" s="182"/>
      <c r="AU24" s="186">
        <v>2003</v>
      </c>
      <c r="AV24" s="166" t="s">
        <v>828</v>
      </c>
      <c r="BM24" t="s">
        <v>541</v>
      </c>
      <c r="BN24" s="167" t="s">
        <v>377</v>
      </c>
      <c r="BP24" s="146" t="s">
        <v>829</v>
      </c>
      <c r="BQ24" s="192"/>
      <c r="BR24" s="170"/>
      <c r="CR24" s="184"/>
      <c r="CS24" s="184"/>
    </row>
    <row r="25" spans="6:97" ht="18" x14ac:dyDescent="0.25">
      <c r="F25" s="176" t="s">
        <v>576</v>
      </c>
      <c r="G25" s="56">
        <v>25</v>
      </c>
      <c r="I25" s="150" t="s">
        <v>831</v>
      </c>
      <c r="AE25" s="181" t="s">
        <v>832</v>
      </c>
      <c r="AF25" s="181" t="s">
        <v>748</v>
      </c>
      <c r="AG25" s="182"/>
      <c r="AH25" s="182"/>
      <c r="AI25" s="182"/>
      <c r="AK25" s="182" t="s">
        <v>833</v>
      </c>
      <c r="AL25" s="182" t="s">
        <v>834</v>
      </c>
      <c r="AM25" s="182"/>
      <c r="AN25" s="182"/>
      <c r="AO25" s="182"/>
      <c r="AU25" s="186">
        <v>2004</v>
      </c>
      <c r="AV25" s="166" t="s">
        <v>835</v>
      </c>
      <c r="BM25" t="s">
        <v>542</v>
      </c>
      <c r="BN25" s="167" t="s">
        <v>377</v>
      </c>
      <c r="BP25" s="146" t="s">
        <v>836</v>
      </c>
      <c r="BQ25" s="192"/>
      <c r="BR25" s="170"/>
      <c r="CR25" s="597"/>
      <c r="CS25" s="597"/>
    </row>
    <row r="26" spans="6:97" ht="18" x14ac:dyDescent="0.25">
      <c r="F26" s="213" t="s">
        <v>522</v>
      </c>
      <c r="G26" s="56">
        <v>26</v>
      </c>
      <c r="I26" s="150" t="s">
        <v>837</v>
      </c>
      <c r="AE26" s="181" t="s">
        <v>838</v>
      </c>
      <c r="AF26" s="181" t="s">
        <v>748</v>
      </c>
      <c r="AG26" s="182"/>
      <c r="AH26" s="182"/>
      <c r="AI26" s="182"/>
      <c r="AK26" s="182" t="s">
        <v>839</v>
      </c>
      <c r="AL26" s="182" t="s">
        <v>840</v>
      </c>
      <c r="AM26" s="182"/>
      <c r="AN26" s="182"/>
      <c r="AO26" s="182"/>
      <c r="AU26" s="186">
        <v>2005</v>
      </c>
      <c r="AV26" s="203" t="s">
        <v>841</v>
      </c>
      <c r="BM26" t="s">
        <v>543</v>
      </c>
      <c r="BN26" s="167" t="s">
        <v>377</v>
      </c>
      <c r="BP26" s="146" t="s">
        <v>842</v>
      </c>
      <c r="BQ26" s="192"/>
      <c r="BR26" s="170"/>
      <c r="CR26" s="184"/>
      <c r="CS26" s="184"/>
    </row>
    <row r="27" spans="6:97" ht="18" x14ac:dyDescent="0.25">
      <c r="F27" s="217" t="s">
        <v>9</v>
      </c>
      <c r="G27" s="56">
        <v>27</v>
      </c>
      <c r="I27" s="150" t="s">
        <v>845</v>
      </c>
      <c r="AE27" s="181" t="s">
        <v>843</v>
      </c>
      <c r="AF27" s="181" t="s">
        <v>844</v>
      </c>
      <c r="AG27" s="182"/>
      <c r="AH27" s="182"/>
      <c r="AI27" s="182"/>
      <c r="AK27" s="182" t="s">
        <v>846</v>
      </c>
      <c r="AL27" s="182" t="s">
        <v>847</v>
      </c>
      <c r="AM27" s="182"/>
      <c r="AN27" s="182"/>
      <c r="AO27" s="182"/>
      <c r="AU27" s="186">
        <v>2006</v>
      </c>
      <c r="AV27" s="166" t="s">
        <v>848</v>
      </c>
      <c r="BM27" t="s">
        <v>562</v>
      </c>
      <c r="BN27" s="167" t="s">
        <v>333</v>
      </c>
      <c r="BP27" s="146" t="s">
        <v>849</v>
      </c>
      <c r="BQ27" s="192"/>
      <c r="BR27" s="170"/>
      <c r="CR27" s="184"/>
      <c r="CS27" s="184"/>
    </row>
    <row r="28" spans="6:97" x14ac:dyDescent="0.25">
      <c r="G28" s="56">
        <v>28</v>
      </c>
      <c r="I28" s="150" t="s">
        <v>851</v>
      </c>
      <c r="AE28" s="182"/>
      <c r="AF28" s="182"/>
      <c r="AK28" s="182" t="s">
        <v>799</v>
      </c>
      <c r="AL28" s="182" t="s">
        <v>800</v>
      </c>
      <c r="AM28" s="182"/>
      <c r="AN28" s="182"/>
      <c r="AO28" s="182"/>
      <c r="AU28" s="186">
        <v>2007</v>
      </c>
      <c r="AV28" s="166" t="s">
        <v>852</v>
      </c>
      <c r="BM28" t="s">
        <v>563</v>
      </c>
      <c r="BN28" s="167" t="s">
        <v>333</v>
      </c>
      <c r="BP28" s="146" t="s">
        <v>853</v>
      </c>
      <c r="BQ28" s="192"/>
      <c r="BR28" s="170"/>
      <c r="CR28" s="184"/>
      <c r="CS28" s="184"/>
    </row>
    <row r="29" spans="6:97" ht="18" x14ac:dyDescent="0.25">
      <c r="G29" s="56">
        <v>29</v>
      </c>
      <c r="I29" s="150" t="s">
        <v>856</v>
      </c>
      <c r="AE29" s="182"/>
      <c r="AF29" s="182"/>
      <c r="AK29" s="182" t="s">
        <v>857</v>
      </c>
      <c r="AL29" s="182" t="s">
        <v>858</v>
      </c>
      <c r="AM29" s="182"/>
      <c r="AN29" s="182"/>
      <c r="AO29" s="182"/>
      <c r="AU29" s="186">
        <v>2008</v>
      </c>
      <c r="AV29" s="166" t="s">
        <v>859</v>
      </c>
      <c r="BM29" t="s">
        <v>564</v>
      </c>
      <c r="BN29" s="167" t="s">
        <v>333</v>
      </c>
      <c r="BP29" s="146" t="s">
        <v>860</v>
      </c>
      <c r="BQ29" s="192"/>
      <c r="BR29" s="170"/>
      <c r="CR29" s="597"/>
      <c r="CS29" s="597"/>
    </row>
    <row r="30" spans="6:97" x14ac:dyDescent="0.25">
      <c r="G30" s="56">
        <v>30</v>
      </c>
      <c r="AE30" s="182"/>
      <c r="AF30" s="182"/>
      <c r="AK30" s="182" t="s">
        <v>861</v>
      </c>
      <c r="AL30" s="182" t="s">
        <v>862</v>
      </c>
      <c r="AM30" s="182"/>
      <c r="AN30" s="182"/>
      <c r="AO30" s="182"/>
      <c r="AU30" s="186">
        <v>2009</v>
      </c>
      <c r="AV30" s="166" t="s">
        <v>863</v>
      </c>
      <c r="BM30" t="s">
        <v>565</v>
      </c>
      <c r="BN30" s="167" t="s">
        <v>333</v>
      </c>
      <c r="BP30" s="146" t="s">
        <v>864</v>
      </c>
      <c r="BQ30" s="192"/>
      <c r="BR30" s="170"/>
      <c r="CR30" s="184"/>
      <c r="CS30" s="184"/>
    </row>
    <row r="31" spans="6:97" ht="18" x14ac:dyDescent="0.25">
      <c r="G31" s="56" t="s">
        <v>865</v>
      </c>
      <c r="AE31" s="182"/>
      <c r="AF31" s="182"/>
      <c r="AK31" s="182" t="s">
        <v>866</v>
      </c>
      <c r="AL31" s="182" t="s">
        <v>867</v>
      </c>
      <c r="AM31" s="182"/>
      <c r="AN31" s="182"/>
      <c r="AO31" s="182"/>
      <c r="AU31" s="186">
        <v>2010</v>
      </c>
      <c r="AV31" s="203" t="s">
        <v>868</v>
      </c>
      <c r="BM31" t="s">
        <v>591</v>
      </c>
      <c r="BN31" s="167" t="s">
        <v>377</v>
      </c>
      <c r="BP31" s="146" t="s">
        <v>869</v>
      </c>
      <c r="BQ31" s="168" t="s">
        <v>870</v>
      </c>
      <c r="BR31" s="170"/>
      <c r="CR31" s="597"/>
      <c r="CS31" s="597"/>
    </row>
    <row r="32" spans="6:97" x14ac:dyDescent="0.25">
      <c r="AE32" s="182"/>
      <c r="AF32" s="182"/>
      <c r="AK32" s="182" t="s">
        <v>871</v>
      </c>
      <c r="AL32" s="182" t="s">
        <v>872</v>
      </c>
      <c r="AM32" s="182"/>
      <c r="AN32" s="182"/>
      <c r="AO32" s="182"/>
      <c r="AU32" s="186">
        <v>2011</v>
      </c>
      <c r="AV32" s="166" t="s">
        <v>873</v>
      </c>
      <c r="BM32" t="s">
        <v>592</v>
      </c>
      <c r="BN32" s="167" t="s">
        <v>377</v>
      </c>
      <c r="BP32" s="146" t="s">
        <v>874</v>
      </c>
      <c r="BQ32" s="168"/>
      <c r="BR32" s="170"/>
      <c r="CR32" s="184"/>
      <c r="CS32" s="184"/>
    </row>
    <row r="33" spans="1:97" ht="18" x14ac:dyDescent="0.25">
      <c r="AE33" s="182"/>
      <c r="AF33" s="182"/>
      <c r="AK33" s="182" t="s">
        <v>875</v>
      </c>
      <c r="AL33" s="182" t="s">
        <v>876</v>
      </c>
      <c r="AM33" s="182"/>
      <c r="AN33" s="182"/>
      <c r="AO33" s="182"/>
      <c r="AU33" s="186">
        <v>2012</v>
      </c>
      <c r="AV33" s="203" t="s">
        <v>877</v>
      </c>
      <c r="BM33" t="s">
        <v>593</v>
      </c>
      <c r="BN33" s="167" t="s">
        <v>377</v>
      </c>
      <c r="BP33" s="146" t="s">
        <v>878</v>
      </c>
      <c r="BQ33" s="192"/>
      <c r="BR33" s="170"/>
      <c r="CR33" s="184"/>
      <c r="CS33" s="184"/>
    </row>
    <row r="34" spans="1:97" ht="18" x14ac:dyDescent="0.25">
      <c r="AE34" s="182"/>
      <c r="AF34" s="182"/>
      <c r="AK34" s="182" t="s">
        <v>879</v>
      </c>
      <c r="AL34" s="182" t="s">
        <v>880</v>
      </c>
      <c r="AM34" s="182"/>
      <c r="AN34" s="182"/>
      <c r="AO34" s="182"/>
      <c r="AU34" s="186">
        <v>2013</v>
      </c>
      <c r="AV34" s="166" t="s">
        <v>881</v>
      </c>
      <c r="BM34" t="s">
        <v>594</v>
      </c>
      <c r="BN34" s="167" t="s">
        <v>377</v>
      </c>
      <c r="BP34" s="146" t="s">
        <v>882</v>
      </c>
      <c r="BQ34" s="192"/>
      <c r="BR34" s="170"/>
      <c r="CR34" s="184"/>
      <c r="CS34" s="184"/>
    </row>
    <row r="35" spans="1:97" ht="18" x14ac:dyDescent="0.25">
      <c r="AE35" s="182"/>
      <c r="AF35" s="182"/>
      <c r="AK35" s="182" t="s">
        <v>883</v>
      </c>
      <c r="AL35" s="182" t="s">
        <v>627</v>
      </c>
      <c r="AM35" s="182"/>
      <c r="AN35" s="182"/>
      <c r="AO35" s="182"/>
      <c r="AU35" s="186">
        <v>2014</v>
      </c>
      <c r="AV35" s="166" t="s">
        <v>884</v>
      </c>
      <c r="BM35" t="s">
        <v>595</v>
      </c>
      <c r="BN35" s="167" t="s">
        <v>377</v>
      </c>
      <c r="BP35" s="146" t="s">
        <v>885</v>
      </c>
      <c r="BQ35" s="192"/>
      <c r="BR35" s="170"/>
      <c r="CR35" s="597"/>
      <c r="CS35" s="597"/>
    </row>
    <row r="36" spans="1:97" ht="18" x14ac:dyDescent="0.25">
      <c r="AE36" s="182"/>
      <c r="AF36" s="182"/>
      <c r="AK36" s="182" t="s">
        <v>886</v>
      </c>
      <c r="AL36" s="182" t="s">
        <v>887</v>
      </c>
      <c r="AM36" s="182"/>
      <c r="AN36" s="182"/>
      <c r="AO36" s="182"/>
      <c r="AU36" s="186">
        <v>2015</v>
      </c>
      <c r="AV36" s="203" t="s">
        <v>888</v>
      </c>
      <c r="BM36" t="s">
        <v>614</v>
      </c>
      <c r="BN36" s="167" t="s">
        <v>333</v>
      </c>
      <c r="BP36" s="146" t="s">
        <v>889</v>
      </c>
      <c r="BQ36" s="192"/>
      <c r="BR36" s="170"/>
      <c r="CR36" s="597"/>
      <c r="CS36" s="597"/>
    </row>
    <row r="37" spans="1:97" ht="18" x14ac:dyDescent="0.25">
      <c r="AE37" s="182"/>
      <c r="AF37" s="182"/>
      <c r="AK37" s="182" t="s">
        <v>890</v>
      </c>
      <c r="AL37" s="182" t="s">
        <v>891</v>
      </c>
      <c r="AM37" s="182"/>
      <c r="AN37" s="182"/>
      <c r="AO37" s="182"/>
      <c r="AU37" s="186">
        <v>2016</v>
      </c>
      <c r="AV37" s="203" t="s">
        <v>892</v>
      </c>
      <c r="BM37" t="s">
        <v>634</v>
      </c>
      <c r="BN37" s="167" t="s">
        <v>377</v>
      </c>
      <c r="BP37" s="146" t="s">
        <v>893</v>
      </c>
      <c r="BQ37" s="192"/>
      <c r="BR37" s="170"/>
      <c r="CR37" s="184"/>
      <c r="CS37" s="184"/>
    </row>
    <row r="38" spans="1:97" ht="18" x14ac:dyDescent="0.25">
      <c r="AE38" s="182"/>
      <c r="AF38" s="182"/>
      <c r="AK38" s="182" t="s">
        <v>894</v>
      </c>
      <c r="AL38" s="182" t="s">
        <v>895</v>
      </c>
      <c r="AM38" s="182"/>
      <c r="AN38" s="182"/>
      <c r="AO38" s="182"/>
      <c r="AU38" s="186">
        <v>2017</v>
      </c>
      <c r="AV38" s="166" t="s">
        <v>896</v>
      </c>
      <c r="BM38" t="s">
        <v>655</v>
      </c>
      <c r="BN38" s="167" t="s">
        <v>505</v>
      </c>
      <c r="BP38" s="146" t="s">
        <v>897</v>
      </c>
      <c r="BQ38" s="192"/>
      <c r="BR38" s="170"/>
      <c r="CR38" s="597"/>
      <c r="CS38" s="597"/>
    </row>
    <row r="39" spans="1:97" ht="18" x14ac:dyDescent="0.25">
      <c r="AE39" s="182"/>
      <c r="AF39" s="182"/>
      <c r="AK39" s="182" t="s">
        <v>898</v>
      </c>
      <c r="AL39" s="182" t="s">
        <v>794</v>
      </c>
      <c r="AM39" s="182"/>
      <c r="AN39" s="182"/>
      <c r="AO39" s="182"/>
      <c r="AU39" s="186">
        <v>2018</v>
      </c>
      <c r="AV39" s="166" t="s">
        <v>899</v>
      </c>
      <c r="BM39" t="s">
        <v>656</v>
      </c>
      <c r="BN39" s="167" t="s">
        <v>333</v>
      </c>
      <c r="BP39" s="146" t="s">
        <v>900</v>
      </c>
      <c r="BQ39" s="168" t="s">
        <v>901</v>
      </c>
      <c r="BR39" s="170"/>
      <c r="CR39" s="184"/>
      <c r="CS39" s="184"/>
    </row>
    <row r="40" spans="1:97" ht="18" x14ac:dyDescent="0.25">
      <c r="AE40" s="182"/>
      <c r="AF40" s="182"/>
      <c r="AK40" s="182" t="s">
        <v>902</v>
      </c>
      <c r="AL40" s="182" t="s">
        <v>903</v>
      </c>
      <c r="AM40" s="182"/>
      <c r="AN40" s="182"/>
      <c r="AO40" s="182"/>
      <c r="AU40" s="186">
        <v>2019</v>
      </c>
      <c r="AV40" s="203" t="s">
        <v>904</v>
      </c>
      <c r="BM40" t="s">
        <v>657</v>
      </c>
      <c r="BN40" s="167" t="s">
        <v>505</v>
      </c>
      <c r="BP40" s="146" t="s">
        <v>905</v>
      </c>
      <c r="BQ40" s="168" t="s">
        <v>906</v>
      </c>
      <c r="BR40" s="170"/>
      <c r="CR40" s="597"/>
      <c r="CS40" s="597"/>
    </row>
    <row r="41" spans="1:97" ht="18" x14ac:dyDescent="0.25">
      <c r="A41" s="146" t="s">
        <v>907</v>
      </c>
      <c r="G41" s="146" t="s">
        <v>908</v>
      </c>
      <c r="AE41" s="182"/>
      <c r="AF41" s="182"/>
      <c r="AK41" s="182" t="s">
        <v>490</v>
      </c>
      <c r="AL41" s="182" t="s">
        <v>491</v>
      </c>
      <c r="AM41" s="182"/>
      <c r="AN41" s="182"/>
      <c r="AO41" s="182"/>
      <c r="AU41" s="218">
        <v>2020</v>
      </c>
      <c r="AV41" s="166" t="s">
        <v>909</v>
      </c>
      <c r="BM41" t="s">
        <v>658</v>
      </c>
      <c r="BN41"/>
      <c r="BP41" s="146" t="s">
        <v>910</v>
      </c>
      <c r="BQ41" s="168" t="s">
        <v>911</v>
      </c>
      <c r="BR41" s="170"/>
      <c r="CR41" s="184"/>
      <c r="CS41" s="184"/>
    </row>
    <row r="42" spans="1:97" x14ac:dyDescent="0.25">
      <c r="A42" s="219" t="s">
        <v>912</v>
      </c>
      <c r="B42" s="146" t="s">
        <v>913</v>
      </c>
      <c r="C42" s="146" t="s">
        <v>334</v>
      </c>
      <c r="F42" s="220" t="s">
        <v>914</v>
      </c>
      <c r="G42" s="146" t="s">
        <v>915</v>
      </c>
      <c r="L42" s="146" t="s">
        <v>913</v>
      </c>
      <c r="M42" s="221" t="s">
        <v>916</v>
      </c>
      <c r="N42" s="221" t="s">
        <v>917</v>
      </c>
      <c r="V42" s="222" t="s">
        <v>343</v>
      </c>
      <c r="AE42" s="182"/>
      <c r="AF42" s="182"/>
      <c r="AK42" s="182" t="s">
        <v>854</v>
      </c>
      <c r="AL42" s="182" t="s">
        <v>855</v>
      </c>
      <c r="AM42" s="182"/>
      <c r="AN42" s="182"/>
      <c r="AO42" s="182"/>
      <c r="AV42" s="203" t="s">
        <v>918</v>
      </c>
      <c r="BM42" t="s">
        <v>678</v>
      </c>
      <c r="BN42" s="167" t="s">
        <v>333</v>
      </c>
      <c r="BP42" s="146" t="s">
        <v>919</v>
      </c>
      <c r="BQ42" s="192"/>
      <c r="BR42" s="170"/>
      <c r="CR42" s="184"/>
      <c r="CS42" s="184"/>
    </row>
    <row r="43" spans="1:97" ht="18" x14ac:dyDescent="0.25">
      <c r="A43" s="219" t="s">
        <v>921</v>
      </c>
      <c r="B43" s="146" t="s">
        <v>922</v>
      </c>
      <c r="C43" s="146" t="s">
        <v>378</v>
      </c>
      <c r="F43" s="220" t="s">
        <v>923</v>
      </c>
      <c r="G43" s="146" t="s">
        <v>924</v>
      </c>
      <c r="L43" s="146" t="s">
        <v>922</v>
      </c>
      <c r="M43" s="221" t="s">
        <v>917</v>
      </c>
      <c r="N43" s="221" t="s">
        <v>916</v>
      </c>
      <c r="V43" s="222" t="s">
        <v>343</v>
      </c>
      <c r="AE43" s="182"/>
      <c r="AF43" s="182"/>
      <c r="AK43" s="182" t="s">
        <v>768</v>
      </c>
      <c r="AL43" s="182" t="s">
        <v>768</v>
      </c>
      <c r="AM43" s="182"/>
      <c r="AN43" s="182"/>
      <c r="AO43" s="182"/>
      <c r="AV43" s="166" t="s">
        <v>925</v>
      </c>
      <c r="BM43" t="s">
        <v>679</v>
      </c>
      <c r="BN43" s="167" t="s">
        <v>333</v>
      </c>
      <c r="BP43" s="146" t="s">
        <v>926</v>
      </c>
      <c r="BQ43" s="192" t="s">
        <v>927</v>
      </c>
      <c r="BR43" s="170" t="s">
        <v>928</v>
      </c>
      <c r="CR43" s="184"/>
      <c r="CS43" s="184"/>
    </row>
    <row r="44" spans="1:97" ht="18" x14ac:dyDescent="0.25">
      <c r="A44" s="219" t="s">
        <v>929</v>
      </c>
      <c r="B44" s="146" t="s">
        <v>930</v>
      </c>
      <c r="C44" s="146" t="s">
        <v>419</v>
      </c>
      <c r="F44" s="219" t="s">
        <v>931</v>
      </c>
      <c r="G44" s="146" t="s">
        <v>932</v>
      </c>
      <c r="L44" s="146" t="s">
        <v>930</v>
      </c>
      <c r="M44" s="221" t="s">
        <v>916</v>
      </c>
      <c r="N44" s="221" t="s">
        <v>917</v>
      </c>
      <c r="V44" s="222" t="s">
        <v>343</v>
      </c>
      <c r="AE44" s="182"/>
      <c r="AF44" s="182"/>
      <c r="AK44" s="182" t="s">
        <v>823</v>
      </c>
      <c r="AL44" s="182" t="s">
        <v>823</v>
      </c>
      <c r="AM44" s="182"/>
      <c r="AN44" s="182"/>
      <c r="AO44" s="182"/>
      <c r="AV44" s="166" t="s">
        <v>933</v>
      </c>
      <c r="BM44" t="s">
        <v>680</v>
      </c>
      <c r="BN44" s="167" t="s">
        <v>418</v>
      </c>
      <c r="BP44" s="146" t="s">
        <v>934</v>
      </c>
      <c r="BQ44" s="168" t="s">
        <v>935</v>
      </c>
      <c r="BR44" s="170"/>
      <c r="CR44" s="184"/>
      <c r="CS44" s="184"/>
    </row>
    <row r="45" spans="1:97" ht="15.75" thickBot="1" x14ac:dyDescent="0.3">
      <c r="A45" s="146" t="s">
        <v>936</v>
      </c>
      <c r="B45" s="146" t="s">
        <v>937</v>
      </c>
      <c r="C45" s="146" t="s">
        <v>454</v>
      </c>
      <c r="F45" s="219" t="s">
        <v>938</v>
      </c>
      <c r="G45" s="146" t="s">
        <v>939</v>
      </c>
      <c r="L45" s="146" t="s">
        <v>937</v>
      </c>
      <c r="M45" s="221" t="s">
        <v>940</v>
      </c>
      <c r="V45" s="222" t="s">
        <v>204</v>
      </c>
      <c r="AE45" s="182"/>
      <c r="AF45" s="182"/>
      <c r="AK45" s="182" t="s">
        <v>830</v>
      </c>
      <c r="AL45" s="182" t="s">
        <v>830</v>
      </c>
      <c r="AM45" s="182"/>
      <c r="AN45" s="182"/>
      <c r="AO45" s="182"/>
      <c r="AV45" s="166" t="s">
        <v>941</v>
      </c>
      <c r="BM45" t="s">
        <v>681</v>
      </c>
      <c r="BN45" s="167" t="s">
        <v>418</v>
      </c>
      <c r="BP45" s="146" t="s">
        <v>942</v>
      </c>
      <c r="BQ45" s="223"/>
      <c r="BR45" s="216"/>
      <c r="CR45" s="597"/>
      <c r="CS45" s="597"/>
    </row>
    <row r="46" spans="1:97" x14ac:dyDescent="0.25">
      <c r="A46" s="146" t="s">
        <v>943</v>
      </c>
      <c r="B46" s="146" t="s">
        <v>944</v>
      </c>
      <c r="C46" s="146" t="s">
        <v>506</v>
      </c>
      <c r="F46" s="219" t="s">
        <v>945</v>
      </c>
      <c r="G46" s="146" t="s">
        <v>946</v>
      </c>
      <c r="L46" s="146" t="s">
        <v>944</v>
      </c>
      <c r="M46" s="221" t="s">
        <v>947</v>
      </c>
      <c r="V46" s="222" t="s">
        <v>204</v>
      </c>
      <c r="AE46" s="182"/>
      <c r="AF46" s="182"/>
      <c r="AK46" s="182" t="s">
        <v>850</v>
      </c>
      <c r="AL46" s="182" t="s">
        <v>850</v>
      </c>
      <c r="AM46" s="182"/>
      <c r="AN46" s="182"/>
      <c r="AO46" s="182"/>
      <c r="AV46" s="203" t="s">
        <v>948</v>
      </c>
      <c r="BM46" t="s">
        <v>682</v>
      </c>
      <c r="BN46" s="167" t="s">
        <v>418</v>
      </c>
      <c r="CR46" s="597"/>
      <c r="CS46" s="597"/>
    </row>
    <row r="47" spans="1:97" x14ac:dyDescent="0.25">
      <c r="A47" s="146" t="s">
        <v>949</v>
      </c>
      <c r="B47" s="146" t="s">
        <v>950</v>
      </c>
      <c r="C47" s="146" t="s">
        <v>544</v>
      </c>
      <c r="F47" s="219" t="s">
        <v>951</v>
      </c>
      <c r="G47" s="146" t="s">
        <v>952</v>
      </c>
      <c r="L47" s="146" t="s">
        <v>950</v>
      </c>
      <c r="M47" s="221" t="s">
        <v>947</v>
      </c>
      <c r="V47" s="222" t="s">
        <v>204</v>
      </c>
      <c r="AE47" s="182"/>
      <c r="AF47" s="182"/>
      <c r="AK47" s="182" t="s">
        <v>513</v>
      </c>
      <c r="AL47" s="182" t="s">
        <v>513</v>
      </c>
      <c r="AM47" s="182"/>
      <c r="AN47" s="182"/>
      <c r="AO47" s="182"/>
      <c r="AV47" s="203" t="s">
        <v>953</v>
      </c>
      <c r="BM47" t="s">
        <v>683</v>
      </c>
      <c r="BN47" s="167" t="s">
        <v>418</v>
      </c>
      <c r="CR47" s="184"/>
      <c r="CS47" s="184"/>
    </row>
    <row r="48" spans="1:97" ht="18" x14ac:dyDescent="0.25">
      <c r="A48" s="224" t="s">
        <v>955</v>
      </c>
      <c r="B48" s="146" t="s">
        <v>956</v>
      </c>
      <c r="C48" s="146" t="s">
        <v>566</v>
      </c>
      <c r="F48" s="219" t="s">
        <v>957</v>
      </c>
      <c r="G48" s="146" t="s">
        <v>958</v>
      </c>
      <c r="L48" s="146" t="s">
        <v>956</v>
      </c>
      <c r="M48" s="170" t="s">
        <v>959</v>
      </c>
      <c r="U48" s="225"/>
      <c r="V48" s="222" t="s">
        <v>204</v>
      </c>
      <c r="AE48" s="182"/>
      <c r="AF48" s="182"/>
      <c r="AK48" s="182" t="s">
        <v>420</v>
      </c>
      <c r="AL48" s="182" t="s">
        <v>420</v>
      </c>
      <c r="AM48" s="182"/>
      <c r="AN48" s="182"/>
      <c r="AO48" s="182"/>
      <c r="AV48" s="203" t="s">
        <v>960</v>
      </c>
      <c r="BM48" t="s">
        <v>684</v>
      </c>
      <c r="BN48" s="167" t="s">
        <v>333</v>
      </c>
      <c r="CR48" s="184"/>
      <c r="CS48" s="184"/>
    </row>
    <row r="49" spans="1:100" x14ac:dyDescent="0.25">
      <c r="A49" s="224" t="s">
        <v>961</v>
      </c>
      <c r="B49" s="146" t="s">
        <v>962</v>
      </c>
      <c r="C49" s="146" t="s">
        <v>596</v>
      </c>
      <c r="F49" s="219" t="s">
        <v>963</v>
      </c>
      <c r="G49" s="146" t="s">
        <v>964</v>
      </c>
      <c r="L49" s="146" t="s">
        <v>962</v>
      </c>
      <c r="M49" s="170" t="s">
        <v>965</v>
      </c>
      <c r="U49" s="225"/>
      <c r="V49" s="222" t="s">
        <v>204</v>
      </c>
      <c r="AE49" s="182"/>
      <c r="AF49" s="182"/>
      <c r="AK49" s="182" t="s">
        <v>472</v>
      </c>
      <c r="AL49" s="182" t="s">
        <v>472</v>
      </c>
      <c r="AM49" s="182"/>
      <c r="AN49" s="182"/>
      <c r="AO49" s="182"/>
      <c r="AV49" s="203" t="s">
        <v>966</v>
      </c>
      <c r="AY49"/>
      <c r="BM49" t="s">
        <v>685</v>
      </c>
      <c r="BN49" s="167" t="s">
        <v>333</v>
      </c>
      <c r="CR49" s="184"/>
      <c r="CS49" s="184"/>
    </row>
    <row r="50" spans="1:100" x14ac:dyDescent="0.25">
      <c r="A50" s="224" t="s">
        <v>967</v>
      </c>
      <c r="B50" s="146" t="s">
        <v>968</v>
      </c>
      <c r="C50" s="146" t="s">
        <v>615</v>
      </c>
      <c r="F50" s="219" t="s">
        <v>969</v>
      </c>
      <c r="G50" s="146" t="s">
        <v>970</v>
      </c>
      <c r="L50" s="146" t="s">
        <v>968</v>
      </c>
      <c r="M50" s="170" t="s">
        <v>971</v>
      </c>
      <c r="U50" s="225"/>
      <c r="V50" s="222" t="s">
        <v>204</v>
      </c>
      <c r="AE50" s="182"/>
      <c r="AF50" s="182"/>
      <c r="AK50" s="182" t="s">
        <v>618</v>
      </c>
      <c r="AL50" s="182" t="s">
        <v>618</v>
      </c>
      <c r="AM50" s="182"/>
      <c r="AN50" s="182"/>
      <c r="AO50" s="182"/>
      <c r="AV50" s="166" t="s">
        <v>972</v>
      </c>
      <c r="BM50" t="s">
        <v>686</v>
      </c>
      <c r="BN50" s="167" t="s">
        <v>333</v>
      </c>
      <c r="CR50" s="184"/>
      <c r="CS50" s="184"/>
    </row>
    <row r="51" spans="1:100" x14ac:dyDescent="0.25">
      <c r="A51" s="224" t="s">
        <v>973</v>
      </c>
      <c r="B51" s="146" t="s">
        <v>974</v>
      </c>
      <c r="C51" s="146" t="s">
        <v>635</v>
      </c>
      <c r="F51" s="219" t="s">
        <v>975</v>
      </c>
      <c r="G51" s="146" t="s">
        <v>976</v>
      </c>
      <c r="L51" s="146" t="s">
        <v>974</v>
      </c>
      <c r="M51" s="221" t="s">
        <v>977</v>
      </c>
      <c r="N51" s="221" t="s">
        <v>978</v>
      </c>
      <c r="O51" s="170"/>
      <c r="P51" s="170"/>
      <c r="Q51" s="170"/>
      <c r="R51" s="170"/>
      <c r="U51" s="225"/>
      <c r="V51" s="222" t="s">
        <v>204</v>
      </c>
      <c r="AE51" s="182"/>
      <c r="AF51" s="182"/>
      <c r="AK51" s="182" t="s">
        <v>954</v>
      </c>
      <c r="AL51" s="182" t="s">
        <v>954</v>
      </c>
      <c r="AM51" s="182"/>
      <c r="AN51" s="182"/>
      <c r="AO51" s="182"/>
      <c r="AV51" s="166" t="s">
        <v>979</v>
      </c>
      <c r="BM51" t="s">
        <v>687</v>
      </c>
      <c r="BN51" s="167" t="s">
        <v>333</v>
      </c>
      <c r="CR51" s="184"/>
      <c r="CS51" s="184"/>
    </row>
    <row r="52" spans="1:100" x14ac:dyDescent="0.25">
      <c r="A52" s="224" t="s">
        <v>980</v>
      </c>
      <c r="B52" s="146" t="s">
        <v>981</v>
      </c>
      <c r="C52" s="146" t="s">
        <v>659</v>
      </c>
      <c r="F52" s="219" t="s">
        <v>982</v>
      </c>
      <c r="G52" s="146" t="s">
        <v>983</v>
      </c>
      <c r="L52" s="146" t="s">
        <v>981</v>
      </c>
      <c r="M52" s="221" t="s">
        <v>984</v>
      </c>
      <c r="N52" s="226" t="s">
        <v>985</v>
      </c>
      <c r="O52" s="170" t="s">
        <v>986</v>
      </c>
      <c r="P52" s="170"/>
      <c r="Q52" s="170"/>
      <c r="R52" s="170"/>
      <c r="U52" s="225"/>
      <c r="V52" s="222" t="s">
        <v>204</v>
      </c>
      <c r="AE52" s="182"/>
      <c r="AF52" s="182"/>
      <c r="AK52" s="182" t="s">
        <v>381</v>
      </c>
      <c r="AL52" s="182" t="s">
        <v>381</v>
      </c>
      <c r="AM52" s="182"/>
      <c r="AN52" s="182"/>
      <c r="AO52" s="182"/>
      <c r="AV52" s="166" t="s">
        <v>987</v>
      </c>
      <c r="BM52" t="s">
        <v>700</v>
      </c>
      <c r="BN52" s="167" t="s">
        <v>333</v>
      </c>
      <c r="CR52" s="597"/>
      <c r="CS52" s="597"/>
    </row>
    <row r="53" spans="1:100" x14ac:dyDescent="0.25">
      <c r="A53" s="224" t="s">
        <v>988</v>
      </c>
      <c r="B53" s="146" t="s">
        <v>989</v>
      </c>
      <c r="C53" s="146" t="s">
        <v>688</v>
      </c>
      <c r="F53" s="219" t="s">
        <v>990</v>
      </c>
      <c r="G53" s="146" t="s">
        <v>991</v>
      </c>
      <c r="L53" s="146" t="s">
        <v>989</v>
      </c>
      <c r="M53" s="221" t="s">
        <v>992</v>
      </c>
      <c r="N53" s="170"/>
      <c r="O53" s="170"/>
      <c r="P53" s="170"/>
      <c r="Q53" s="170"/>
      <c r="R53" s="170"/>
      <c r="U53" s="225"/>
      <c r="V53" s="222" t="s">
        <v>204</v>
      </c>
      <c r="AE53" s="182"/>
      <c r="AF53" s="182"/>
      <c r="AK53" s="182" t="s">
        <v>920</v>
      </c>
      <c r="AL53" s="182" t="s">
        <v>920</v>
      </c>
      <c r="AM53" s="182"/>
      <c r="AN53" s="182"/>
      <c r="AO53" s="182"/>
      <c r="AV53" s="166" t="s">
        <v>993</v>
      </c>
      <c r="BM53" t="s">
        <v>701</v>
      </c>
      <c r="BN53" s="167" t="s">
        <v>333</v>
      </c>
      <c r="CR53" s="597"/>
      <c r="CS53" s="184"/>
    </row>
    <row r="54" spans="1:100" x14ac:dyDescent="0.25">
      <c r="A54" s="224" t="s">
        <v>994</v>
      </c>
      <c r="B54" s="146" t="s">
        <v>995</v>
      </c>
      <c r="C54" s="146" t="s">
        <v>705</v>
      </c>
      <c r="F54" s="219" t="s">
        <v>996</v>
      </c>
      <c r="G54" s="146" t="s">
        <v>997</v>
      </c>
      <c r="L54" s="146" t="s">
        <v>995</v>
      </c>
      <c r="M54" s="221" t="s">
        <v>998</v>
      </c>
      <c r="N54" s="221" t="s">
        <v>999</v>
      </c>
      <c r="O54" s="221" t="s">
        <v>1000</v>
      </c>
      <c r="P54" s="170" t="s">
        <v>1001</v>
      </c>
      <c r="Q54" s="170" t="s">
        <v>1002</v>
      </c>
      <c r="R54" s="170" t="s">
        <v>1003</v>
      </c>
      <c r="U54" s="225"/>
      <c r="V54" s="222" t="s">
        <v>204</v>
      </c>
      <c r="AE54" s="149"/>
      <c r="AF54" s="149"/>
      <c r="AK54" s="182" t="s">
        <v>1004</v>
      </c>
      <c r="AL54" s="182" t="s">
        <v>1004</v>
      </c>
      <c r="AM54" s="227"/>
      <c r="AN54" s="227"/>
      <c r="AO54" s="227"/>
      <c r="AV54" s="166" t="s">
        <v>1005</v>
      </c>
      <c r="BM54" t="s">
        <v>702</v>
      </c>
      <c r="BN54" s="167" t="s">
        <v>333</v>
      </c>
      <c r="CR54" s="184"/>
      <c r="CS54" s="184"/>
    </row>
    <row r="55" spans="1:100" x14ac:dyDescent="0.25">
      <c r="A55" s="224" t="s">
        <v>1006</v>
      </c>
      <c r="B55" s="146" t="s">
        <v>1007</v>
      </c>
      <c r="C55" s="146" t="s">
        <v>725</v>
      </c>
      <c r="F55" s="219" t="s">
        <v>1008</v>
      </c>
      <c r="G55" s="146" t="s">
        <v>1009</v>
      </c>
      <c r="L55" s="146" t="s">
        <v>1007</v>
      </c>
      <c r="M55" s="221" t="s">
        <v>1010</v>
      </c>
      <c r="N55" s="170"/>
      <c r="O55" s="170"/>
      <c r="P55" s="170"/>
      <c r="Q55" s="170"/>
      <c r="R55" s="170"/>
      <c r="U55" s="225"/>
      <c r="V55" s="222" t="s">
        <v>204</v>
      </c>
      <c r="AE55" s="182"/>
      <c r="AF55" s="182"/>
      <c r="AK55" s="182" t="s">
        <v>1011</v>
      </c>
      <c r="AL55" s="182" t="s">
        <v>1011</v>
      </c>
      <c r="AM55" s="227"/>
      <c r="AN55" s="227"/>
      <c r="AO55" s="227"/>
      <c r="AV55" s="166" t="s">
        <v>1012</v>
      </c>
      <c r="BM55" t="s">
        <v>703</v>
      </c>
      <c r="BN55" s="167" t="s">
        <v>333</v>
      </c>
      <c r="CR55" s="597"/>
      <c r="CS55" s="597"/>
    </row>
    <row r="56" spans="1:100" x14ac:dyDescent="0.25">
      <c r="A56" s="224" t="s">
        <v>1013</v>
      </c>
      <c r="B56" s="146" t="s">
        <v>1014</v>
      </c>
      <c r="C56" s="146" t="s">
        <v>745</v>
      </c>
      <c r="F56" s="219" t="s">
        <v>1015</v>
      </c>
      <c r="G56" s="146" t="s">
        <v>1016</v>
      </c>
      <c r="L56" s="146" t="s">
        <v>1014</v>
      </c>
      <c r="M56" s="221" t="s">
        <v>1013</v>
      </c>
      <c r="N56" s="170"/>
      <c r="O56" s="170"/>
      <c r="P56" s="170"/>
      <c r="Q56" s="170"/>
      <c r="R56" s="170"/>
      <c r="U56" s="225"/>
      <c r="V56" s="222" t="s">
        <v>204</v>
      </c>
      <c r="AE56" s="182"/>
      <c r="AF56" s="182"/>
      <c r="AK56" s="149" t="s">
        <v>1017</v>
      </c>
      <c r="AL56" s="149" t="s">
        <v>365</v>
      </c>
      <c r="AM56" s="227"/>
      <c r="AN56" s="227"/>
      <c r="AO56" s="227"/>
      <c r="AV56" s="166" t="s">
        <v>1018</v>
      </c>
      <c r="BM56" t="s">
        <v>704</v>
      </c>
      <c r="BN56" s="167" t="s">
        <v>333</v>
      </c>
      <c r="CR56" s="597"/>
      <c r="CS56" s="597"/>
    </row>
    <row r="57" spans="1:100" x14ac:dyDescent="0.25">
      <c r="A57" s="146" t="s">
        <v>1019</v>
      </c>
      <c r="B57" s="146" t="s">
        <v>1020</v>
      </c>
      <c r="C57" s="146" t="s">
        <v>761</v>
      </c>
      <c r="F57" s="228" t="s">
        <v>1021</v>
      </c>
      <c r="G57" s="146" t="s">
        <v>1022</v>
      </c>
      <c r="L57" s="146" t="s">
        <v>1020</v>
      </c>
      <c r="M57" s="170" t="s">
        <v>959</v>
      </c>
      <c r="N57" s="221" t="s">
        <v>1023</v>
      </c>
      <c r="O57" s="221" t="s">
        <v>1024</v>
      </c>
      <c r="P57" s="221" t="s">
        <v>1025</v>
      </c>
      <c r="Q57" s="221"/>
      <c r="R57" s="221"/>
      <c r="V57" s="222" t="s">
        <v>204</v>
      </c>
      <c r="AE57" s="182"/>
      <c r="AF57" s="182"/>
      <c r="AK57" s="182" t="s">
        <v>843</v>
      </c>
      <c r="AL57" s="182" t="s">
        <v>844</v>
      </c>
      <c r="AM57" s="149"/>
      <c r="AN57" s="149"/>
      <c r="AO57" s="149"/>
      <c r="AV57" s="166" t="s">
        <v>1026</v>
      </c>
      <c r="BM57" t="s">
        <v>723</v>
      </c>
      <c r="BN57" s="167" t="s">
        <v>505</v>
      </c>
      <c r="CR57" s="597"/>
      <c r="CS57" s="597"/>
    </row>
    <row r="58" spans="1:100" x14ac:dyDescent="0.25">
      <c r="A58" s="146" t="s">
        <v>1027</v>
      </c>
      <c r="B58" s="146" t="s">
        <v>1028</v>
      </c>
      <c r="C58" s="146" t="s">
        <v>781</v>
      </c>
      <c r="F58" s="228" t="s">
        <v>1029</v>
      </c>
      <c r="G58" s="146" t="s">
        <v>1030</v>
      </c>
      <c r="L58" s="146" t="s">
        <v>1028</v>
      </c>
      <c r="M58" s="221" t="s">
        <v>1031</v>
      </c>
      <c r="N58" s="170"/>
      <c r="O58" s="221"/>
      <c r="P58" s="170"/>
      <c r="Q58" s="170"/>
      <c r="R58" s="170"/>
      <c r="V58" s="222" t="s">
        <v>204</v>
      </c>
      <c r="AE58" s="182"/>
      <c r="AF58" s="182"/>
      <c r="AM58" s="149"/>
      <c r="AN58" s="149"/>
      <c r="AO58" s="149"/>
      <c r="AV58" s="166" t="s">
        <v>1032</v>
      </c>
      <c r="BM58" t="s">
        <v>724</v>
      </c>
      <c r="BN58" s="167" t="s">
        <v>505</v>
      </c>
      <c r="CR58" s="184"/>
      <c r="CS58" s="184"/>
    </row>
    <row r="59" spans="1:100" x14ac:dyDescent="0.25">
      <c r="A59" s="219" t="s">
        <v>1033</v>
      </c>
      <c r="B59" s="146" t="s">
        <v>1034</v>
      </c>
      <c r="C59" s="146" t="s">
        <v>790</v>
      </c>
      <c r="F59" s="228" t="s">
        <v>1035</v>
      </c>
      <c r="G59" s="146" t="s">
        <v>1036</v>
      </c>
      <c r="L59" s="146" t="s">
        <v>1034</v>
      </c>
      <c r="M59" s="221" t="s">
        <v>1031</v>
      </c>
      <c r="N59" s="221" t="s">
        <v>947</v>
      </c>
      <c r="O59" s="221"/>
      <c r="P59" s="170"/>
      <c r="Q59" s="170"/>
      <c r="R59" s="170"/>
      <c r="V59" s="222" t="s">
        <v>204</v>
      </c>
      <c r="AE59" s="182"/>
      <c r="AF59" s="182"/>
      <c r="AV59" s="166" t="s">
        <v>1037</v>
      </c>
      <c r="BM59" t="s">
        <v>743</v>
      </c>
      <c r="BN59" s="167" t="s">
        <v>377</v>
      </c>
      <c r="CR59" s="184"/>
      <c r="CS59" s="184"/>
    </row>
    <row r="60" spans="1:100" x14ac:dyDescent="0.25">
      <c r="A60" s="219" t="s">
        <v>1038</v>
      </c>
      <c r="B60" s="146" t="s">
        <v>1039</v>
      </c>
      <c r="C60" s="146" t="s">
        <v>796</v>
      </c>
      <c r="F60" s="228" t="s">
        <v>1040</v>
      </c>
      <c r="G60" s="146" t="s">
        <v>1041</v>
      </c>
      <c r="L60" s="146" t="s">
        <v>1039</v>
      </c>
      <c r="M60" s="221" t="s">
        <v>1031</v>
      </c>
      <c r="N60" s="221" t="s">
        <v>947</v>
      </c>
      <c r="O60" s="221"/>
      <c r="P60" s="170"/>
      <c r="Q60" s="170"/>
      <c r="R60" s="170"/>
      <c r="U60" s="229"/>
      <c r="V60" s="222" t="s">
        <v>204</v>
      </c>
      <c r="AE60" s="182"/>
      <c r="AF60" s="182"/>
      <c r="AV60" s="203" t="s">
        <v>1042</v>
      </c>
      <c r="BM60" t="s">
        <v>744</v>
      </c>
      <c r="BN60" s="167" t="s">
        <v>377</v>
      </c>
      <c r="CR60" s="163"/>
      <c r="CS60" s="163"/>
    </row>
    <row r="61" spans="1:100" x14ac:dyDescent="0.25">
      <c r="A61" s="146" t="s">
        <v>1043</v>
      </c>
      <c r="B61" s="146" t="s">
        <v>1044</v>
      </c>
      <c r="C61" s="146" t="s">
        <v>804</v>
      </c>
      <c r="F61" s="230" t="s">
        <v>1045</v>
      </c>
      <c r="G61" s="146" t="s">
        <v>1046</v>
      </c>
      <c r="L61" s="146" t="s">
        <v>1044</v>
      </c>
      <c r="M61" s="221" t="s">
        <v>1025</v>
      </c>
      <c r="N61" s="170"/>
      <c r="O61" s="221"/>
      <c r="P61" s="170"/>
      <c r="Q61" s="170"/>
      <c r="R61" s="170"/>
      <c r="V61" s="222" t="s">
        <v>204</v>
      </c>
      <c r="AE61" s="182"/>
      <c r="AF61" s="182"/>
      <c r="AV61" s="203" t="s">
        <v>1047</v>
      </c>
      <c r="CR61" s="184"/>
      <c r="CS61" s="184"/>
    </row>
    <row r="62" spans="1:100" x14ac:dyDescent="0.25">
      <c r="A62" s="220" t="s">
        <v>914</v>
      </c>
      <c r="B62" s="146" t="s">
        <v>1048</v>
      </c>
      <c r="C62" s="146" t="s">
        <v>810</v>
      </c>
      <c r="D62" s="225"/>
      <c r="E62" s="225"/>
      <c r="F62" s="228" t="s">
        <v>1049</v>
      </c>
      <c r="G62" s="146" t="s">
        <v>1050</v>
      </c>
      <c r="L62" s="146" t="s">
        <v>1048</v>
      </c>
      <c r="M62" s="219" t="s">
        <v>914</v>
      </c>
      <c r="N62" s="170"/>
      <c r="O62" s="170"/>
      <c r="S62" s="225"/>
      <c r="T62" s="225"/>
      <c r="V62" s="231" t="s">
        <v>204</v>
      </c>
      <c r="AE62" s="182"/>
      <c r="AF62" s="182"/>
      <c r="AV62" s="203" t="s">
        <v>1051</v>
      </c>
      <c r="CQ62" s="232"/>
      <c r="CR62" s="184"/>
      <c r="CS62" s="184"/>
      <c r="CT62" s="232"/>
      <c r="CU62" s="232"/>
      <c r="CV62" s="232"/>
    </row>
    <row r="63" spans="1:100" x14ac:dyDescent="0.25">
      <c r="A63" s="220" t="s">
        <v>923</v>
      </c>
      <c r="B63" s="146" t="s">
        <v>1052</v>
      </c>
      <c r="C63" s="146" t="s">
        <v>815</v>
      </c>
      <c r="D63" s="225"/>
      <c r="E63" s="225"/>
      <c r="F63" s="228" t="s">
        <v>1053</v>
      </c>
      <c r="G63" s="146" t="s">
        <v>1054</v>
      </c>
      <c r="L63" s="146" t="s">
        <v>1052</v>
      </c>
      <c r="M63" s="219" t="s">
        <v>1055</v>
      </c>
      <c r="N63" s="170"/>
      <c r="O63" s="170"/>
      <c r="S63" s="225"/>
      <c r="T63" s="225"/>
      <c r="V63" s="231" t="s">
        <v>204</v>
      </c>
      <c r="AE63" s="182"/>
      <c r="AF63" s="182"/>
      <c r="AV63" s="166" t="s">
        <v>1056</v>
      </c>
      <c r="CQ63" s="232"/>
      <c r="CR63" s="184"/>
      <c r="CS63" s="184"/>
      <c r="CT63" s="232"/>
      <c r="CU63" s="232"/>
      <c r="CV63" s="232"/>
    </row>
    <row r="64" spans="1:100" x14ac:dyDescent="0.25">
      <c r="A64" s="219" t="s">
        <v>931</v>
      </c>
      <c r="B64" s="146" t="s">
        <v>1057</v>
      </c>
      <c r="C64" s="146" t="s">
        <v>822</v>
      </c>
      <c r="D64" s="225"/>
      <c r="E64" s="225"/>
      <c r="F64" s="228" t="s">
        <v>1058</v>
      </c>
      <c r="G64" s="146" t="s">
        <v>1059</v>
      </c>
      <c r="L64" s="146" t="s">
        <v>1057</v>
      </c>
      <c r="M64" s="192" t="s">
        <v>1060</v>
      </c>
      <c r="N64" s="170"/>
      <c r="O64" s="170"/>
      <c r="S64" s="225"/>
      <c r="T64" s="225"/>
      <c r="V64" s="231" t="s">
        <v>1061</v>
      </c>
      <c r="AE64" s="182"/>
      <c r="AF64" s="182"/>
      <c r="AV64" s="166" t="s">
        <v>1062</v>
      </c>
      <c r="CQ64" s="232"/>
      <c r="CR64" s="184"/>
      <c r="CS64" s="184"/>
      <c r="CT64" s="232"/>
      <c r="CU64" s="232"/>
      <c r="CV64" s="232"/>
    </row>
    <row r="65" spans="1:100" x14ac:dyDescent="0.25">
      <c r="A65" s="219" t="s">
        <v>938</v>
      </c>
      <c r="B65" s="146" t="s">
        <v>1063</v>
      </c>
      <c r="C65" s="146" t="s">
        <v>829</v>
      </c>
      <c r="D65" s="225"/>
      <c r="E65" s="225"/>
      <c r="F65" s="228" t="s">
        <v>1064</v>
      </c>
      <c r="G65" s="146" t="s">
        <v>1065</v>
      </c>
      <c r="L65" s="146" t="s">
        <v>1063</v>
      </c>
      <c r="M65" s="192" t="s">
        <v>1066</v>
      </c>
      <c r="N65" s="170" t="s">
        <v>1067</v>
      </c>
      <c r="O65" s="170"/>
      <c r="S65" s="225"/>
      <c r="T65" s="225"/>
      <c r="V65" s="231" t="s">
        <v>1061</v>
      </c>
      <c r="AE65" s="182"/>
      <c r="AF65" s="182"/>
      <c r="AV65" s="203" t="s">
        <v>1068</v>
      </c>
      <c r="CQ65" s="232"/>
      <c r="CR65" s="597"/>
      <c r="CS65" s="597"/>
      <c r="CT65" s="232"/>
      <c r="CU65" s="232"/>
      <c r="CV65" s="232"/>
    </row>
    <row r="66" spans="1:100" ht="15.75" thickBot="1" x14ac:dyDescent="0.3">
      <c r="A66" s="219" t="s">
        <v>945</v>
      </c>
      <c r="B66" s="146" t="s">
        <v>1069</v>
      </c>
      <c r="C66" s="146" t="s">
        <v>836</v>
      </c>
      <c r="D66" s="225"/>
      <c r="E66" s="225"/>
      <c r="F66" s="233" t="s">
        <v>1070</v>
      </c>
      <c r="G66" s="146" t="s">
        <v>1071</v>
      </c>
      <c r="L66" s="146" t="s">
        <v>1069</v>
      </c>
      <c r="M66" s="192" t="s">
        <v>1072</v>
      </c>
      <c r="N66" s="170"/>
      <c r="O66" s="170"/>
      <c r="S66" s="225"/>
      <c r="T66" s="225"/>
      <c r="V66" s="231" t="s">
        <v>1061</v>
      </c>
      <c r="AE66" s="182"/>
      <c r="AF66" s="182"/>
      <c r="AV66" s="166" t="s">
        <v>1073</v>
      </c>
      <c r="CQ66" s="232"/>
      <c r="CR66" s="184"/>
      <c r="CS66" s="184"/>
      <c r="CT66" s="232"/>
      <c r="CU66" s="232"/>
      <c r="CV66" s="232"/>
    </row>
    <row r="67" spans="1:100" x14ac:dyDescent="0.25">
      <c r="A67" s="219" t="s">
        <v>951</v>
      </c>
      <c r="B67" s="146" t="s">
        <v>1074</v>
      </c>
      <c r="C67" s="146" t="s">
        <v>842</v>
      </c>
      <c r="D67" s="225"/>
      <c r="E67" s="225"/>
      <c r="F67" s="225"/>
      <c r="L67" s="146" t="s">
        <v>1074</v>
      </c>
      <c r="M67" s="192" t="s">
        <v>1075</v>
      </c>
      <c r="N67" s="170"/>
      <c r="O67" s="170"/>
      <c r="S67" s="225"/>
      <c r="T67" s="225"/>
      <c r="V67" s="231" t="s">
        <v>204</v>
      </c>
      <c r="AE67" s="182"/>
      <c r="AF67" s="182"/>
      <c r="AV67" s="203" t="s">
        <v>1076</v>
      </c>
      <c r="CQ67" s="232"/>
      <c r="CR67" s="597"/>
      <c r="CS67" s="597"/>
      <c r="CT67" s="232"/>
      <c r="CU67" s="232"/>
      <c r="CV67" s="232"/>
    </row>
    <row r="68" spans="1:100" x14ac:dyDescent="0.25">
      <c r="A68" s="219" t="s">
        <v>957</v>
      </c>
      <c r="B68" s="146" t="s">
        <v>1077</v>
      </c>
      <c r="C68" s="146" t="s">
        <v>849</v>
      </c>
      <c r="D68" s="225"/>
      <c r="E68" s="225"/>
      <c r="F68" s="225"/>
      <c r="L68" s="146" t="s">
        <v>1077</v>
      </c>
      <c r="M68" s="192" t="s">
        <v>1066</v>
      </c>
      <c r="N68" s="170" t="s">
        <v>1067</v>
      </c>
      <c r="O68" s="170"/>
      <c r="S68" s="221"/>
      <c r="T68" s="225"/>
      <c r="V68" s="231" t="s">
        <v>1061</v>
      </c>
      <c r="AE68" s="182"/>
      <c r="AF68" s="182"/>
      <c r="AV68" s="166" t="s">
        <v>1078</v>
      </c>
      <c r="CQ68" s="232"/>
      <c r="CR68" s="184"/>
      <c r="CS68" s="184"/>
      <c r="CT68" s="232"/>
      <c r="CU68" s="232"/>
      <c r="CV68" s="232"/>
    </row>
    <row r="69" spans="1:100" x14ac:dyDescent="0.25">
      <c r="A69" s="219" t="s">
        <v>963</v>
      </c>
      <c r="B69" s="146" t="s">
        <v>1079</v>
      </c>
      <c r="C69" s="146" t="s">
        <v>853</v>
      </c>
      <c r="D69" s="225"/>
      <c r="E69" s="225"/>
      <c r="F69" s="225"/>
      <c r="L69" s="146" t="s">
        <v>1079</v>
      </c>
      <c r="M69" s="192" t="s">
        <v>1080</v>
      </c>
      <c r="N69" s="170"/>
      <c r="O69" s="170"/>
      <c r="S69" s="221"/>
      <c r="T69" s="225"/>
      <c r="V69" s="231" t="s">
        <v>204</v>
      </c>
      <c r="AE69" s="182"/>
      <c r="AF69" s="182"/>
      <c r="AV69" s="203" t="s">
        <v>1081</v>
      </c>
      <c r="CQ69" s="232"/>
      <c r="CR69" s="597"/>
      <c r="CS69" s="597"/>
      <c r="CT69" s="232"/>
      <c r="CU69" s="232"/>
      <c r="CV69" s="232"/>
    </row>
    <row r="70" spans="1:100" x14ac:dyDescent="0.25">
      <c r="A70" s="219" t="s">
        <v>969</v>
      </c>
      <c r="B70" s="146" t="s">
        <v>1082</v>
      </c>
      <c r="C70" s="146" t="s">
        <v>860</v>
      </c>
      <c r="D70" s="225"/>
      <c r="E70" s="225"/>
      <c r="F70" s="225"/>
      <c r="L70" s="146" t="s">
        <v>1082</v>
      </c>
      <c r="M70" s="192" t="s">
        <v>1083</v>
      </c>
      <c r="N70" s="170"/>
      <c r="O70" s="170"/>
      <c r="S70" s="225"/>
      <c r="T70" s="225"/>
      <c r="V70" s="234" t="s">
        <v>216</v>
      </c>
      <c r="AE70" s="182"/>
      <c r="AF70" s="182"/>
      <c r="AV70" s="166" t="s">
        <v>1084</v>
      </c>
      <c r="CQ70" s="232"/>
      <c r="CR70" s="597"/>
      <c r="CS70" s="597"/>
      <c r="CT70" s="232"/>
      <c r="CU70" s="232"/>
      <c r="CV70" s="232"/>
    </row>
    <row r="71" spans="1:100" x14ac:dyDescent="0.25">
      <c r="A71" s="219" t="s">
        <v>975</v>
      </c>
      <c r="B71" s="146" t="s">
        <v>1085</v>
      </c>
      <c r="C71" s="146" t="s">
        <v>864</v>
      </c>
      <c r="L71" s="146" t="s">
        <v>1085</v>
      </c>
      <c r="M71" s="235" t="s">
        <v>1086</v>
      </c>
      <c r="N71" s="221" t="s">
        <v>1087</v>
      </c>
      <c r="O71" s="170"/>
      <c r="V71" s="170" t="s">
        <v>1088</v>
      </c>
      <c r="AE71" s="182"/>
      <c r="AF71" s="182"/>
      <c r="AV71" s="166" t="s">
        <v>1089</v>
      </c>
      <c r="CQ71" s="236"/>
      <c r="CR71" s="597"/>
      <c r="CS71" s="597"/>
      <c r="CT71" s="232"/>
      <c r="CU71" s="232"/>
      <c r="CV71" s="232"/>
    </row>
    <row r="72" spans="1:100" x14ac:dyDescent="0.25">
      <c r="A72" s="219" t="s">
        <v>982</v>
      </c>
      <c r="B72" s="146" t="s">
        <v>1090</v>
      </c>
      <c r="C72" s="146" t="s">
        <v>869</v>
      </c>
      <c r="L72" s="146" t="s">
        <v>1090</v>
      </c>
      <c r="M72" s="235" t="s">
        <v>490</v>
      </c>
      <c r="N72" s="221" t="s">
        <v>1091</v>
      </c>
      <c r="O72" s="170"/>
      <c r="V72" s="231" t="s">
        <v>204</v>
      </c>
      <c r="AE72" s="182"/>
      <c r="AF72" s="182"/>
      <c r="AV72" s="203" t="s">
        <v>1092</v>
      </c>
      <c r="CQ72" s="236"/>
      <c r="CR72" s="597"/>
      <c r="CS72" s="597"/>
      <c r="CT72" s="232"/>
      <c r="CU72" s="232"/>
      <c r="CV72" s="232"/>
    </row>
    <row r="73" spans="1:100" x14ac:dyDescent="0.25">
      <c r="A73" s="219" t="s">
        <v>990</v>
      </c>
      <c r="B73" s="146" t="s">
        <v>1093</v>
      </c>
      <c r="C73" s="146" t="s">
        <v>874</v>
      </c>
      <c r="L73" s="146" t="s">
        <v>1093</v>
      </c>
      <c r="M73" s="235" t="s">
        <v>838</v>
      </c>
      <c r="N73" s="221"/>
      <c r="O73" s="170"/>
      <c r="V73" s="231" t="s">
        <v>204</v>
      </c>
      <c r="AE73" s="182"/>
      <c r="AF73" s="182"/>
      <c r="AV73" s="166" t="s">
        <v>1094</v>
      </c>
      <c r="CQ73" s="236"/>
      <c r="CR73" s="184"/>
      <c r="CS73" s="184"/>
      <c r="CT73" s="232"/>
      <c r="CU73" s="232"/>
      <c r="CV73" s="232"/>
    </row>
    <row r="74" spans="1:100" x14ac:dyDescent="0.25">
      <c r="A74" s="219" t="s">
        <v>996</v>
      </c>
      <c r="B74" s="146" t="s">
        <v>1095</v>
      </c>
      <c r="C74" s="146" t="s">
        <v>878</v>
      </c>
      <c r="L74" s="146" t="s">
        <v>1095</v>
      </c>
      <c r="M74" s="235" t="s">
        <v>1096</v>
      </c>
      <c r="N74" s="170"/>
      <c r="O74" s="170"/>
      <c r="V74" s="231" t="s">
        <v>1061</v>
      </c>
      <c r="AE74" s="182"/>
      <c r="AF74" s="182"/>
      <c r="AV74" s="166" t="s">
        <v>1097</v>
      </c>
      <c r="CQ74" s="232"/>
      <c r="CR74" s="597"/>
      <c r="CS74" s="597"/>
      <c r="CT74" s="232"/>
      <c r="CU74" s="232"/>
      <c r="CV74" s="232"/>
    </row>
    <row r="75" spans="1:100" x14ac:dyDescent="0.25">
      <c r="A75" s="219" t="s">
        <v>1008</v>
      </c>
      <c r="B75" s="146" t="s">
        <v>1098</v>
      </c>
      <c r="C75" s="146" t="s">
        <v>882</v>
      </c>
      <c r="L75" s="146" t="s">
        <v>1098</v>
      </c>
      <c r="M75" s="235" t="s">
        <v>1099</v>
      </c>
      <c r="N75" s="170" t="s">
        <v>1100</v>
      </c>
      <c r="O75" s="170"/>
      <c r="V75" s="231" t="s">
        <v>1061</v>
      </c>
      <c r="AE75" s="182"/>
      <c r="AF75" s="182"/>
      <c r="AV75" s="166" t="s">
        <v>1101</v>
      </c>
      <c r="CQ75" s="232"/>
      <c r="CR75" s="184"/>
      <c r="CS75" s="184"/>
      <c r="CT75" s="232"/>
      <c r="CU75" s="232"/>
      <c r="CV75" s="232"/>
    </row>
    <row r="76" spans="1:100" x14ac:dyDescent="0.25">
      <c r="A76" s="219" t="s">
        <v>1015</v>
      </c>
      <c r="B76" s="146" t="s">
        <v>1102</v>
      </c>
      <c r="C76" s="146" t="s">
        <v>885</v>
      </c>
      <c r="L76" s="146" t="s">
        <v>1102</v>
      </c>
      <c r="M76" s="192" t="s">
        <v>1066</v>
      </c>
      <c r="N76" s="170" t="s">
        <v>1067</v>
      </c>
      <c r="O76" s="170"/>
      <c r="V76" s="231" t="s">
        <v>1061</v>
      </c>
      <c r="AV76" s="166" t="s">
        <v>1103</v>
      </c>
      <c r="CQ76" s="232"/>
      <c r="CR76" s="184"/>
      <c r="CS76" s="184"/>
      <c r="CT76" s="232"/>
      <c r="CU76" s="232"/>
      <c r="CV76" s="232"/>
    </row>
    <row r="77" spans="1:100" x14ac:dyDescent="0.25">
      <c r="A77" s="228" t="s">
        <v>1021</v>
      </c>
      <c r="B77" s="146" t="s">
        <v>1104</v>
      </c>
      <c r="C77" s="146" t="s">
        <v>889</v>
      </c>
      <c r="L77" s="146" t="s">
        <v>1104</v>
      </c>
      <c r="M77" s="192" t="s">
        <v>1021</v>
      </c>
      <c r="N77" s="170"/>
      <c r="O77" s="170"/>
      <c r="V77" s="231" t="s">
        <v>204</v>
      </c>
      <c r="AV77" s="203" t="s">
        <v>1105</v>
      </c>
      <c r="CQ77" s="232"/>
      <c r="CR77" s="184"/>
      <c r="CS77" s="184"/>
      <c r="CT77" s="232"/>
      <c r="CU77" s="232"/>
      <c r="CV77" s="232"/>
    </row>
    <row r="78" spans="1:100" x14ac:dyDescent="0.25">
      <c r="A78" s="228" t="s">
        <v>1029</v>
      </c>
      <c r="B78" s="146" t="s">
        <v>1106</v>
      </c>
      <c r="C78" s="146" t="s">
        <v>893</v>
      </c>
      <c r="L78" s="146" t="s">
        <v>1106</v>
      </c>
      <c r="M78" s="192" t="s">
        <v>1029</v>
      </c>
      <c r="N78" s="170"/>
      <c r="O78" s="170"/>
      <c r="V78" s="231" t="s">
        <v>204</v>
      </c>
      <c r="AV78" s="166" t="s">
        <v>1107</v>
      </c>
      <c r="CQ78" s="232"/>
      <c r="CR78" s="184"/>
      <c r="CS78" s="184"/>
      <c r="CT78" s="232"/>
      <c r="CU78" s="232"/>
      <c r="CV78" s="232"/>
    </row>
    <row r="79" spans="1:100" x14ac:dyDescent="0.25">
      <c r="A79" s="228" t="s">
        <v>1035</v>
      </c>
      <c r="B79" s="146" t="s">
        <v>1108</v>
      </c>
      <c r="C79" s="146" t="s">
        <v>897</v>
      </c>
      <c r="L79" s="146" t="s">
        <v>1108</v>
      </c>
      <c r="M79" s="192" t="s">
        <v>1035</v>
      </c>
      <c r="N79" s="170"/>
      <c r="O79" s="170"/>
      <c r="V79" s="234" t="s">
        <v>343</v>
      </c>
      <c r="AV79" s="166" t="s">
        <v>1109</v>
      </c>
      <c r="CQ79" s="232"/>
      <c r="CR79" s="597"/>
      <c r="CS79" s="597"/>
      <c r="CT79" s="232"/>
      <c r="CU79" s="232"/>
      <c r="CV79" s="232"/>
    </row>
    <row r="80" spans="1:100" x14ac:dyDescent="0.25">
      <c r="A80" s="228" t="s">
        <v>1040</v>
      </c>
      <c r="B80" s="146" t="s">
        <v>1110</v>
      </c>
      <c r="C80" s="146" t="s">
        <v>900</v>
      </c>
      <c r="L80" s="146" t="s">
        <v>1110</v>
      </c>
      <c r="M80" s="192" t="s">
        <v>1040</v>
      </c>
      <c r="N80" s="170"/>
      <c r="O80" s="170"/>
      <c r="V80" s="231" t="s">
        <v>204</v>
      </c>
      <c r="AV80" s="166" t="s">
        <v>1111</v>
      </c>
      <c r="CQ80" s="232"/>
      <c r="CR80" s="184"/>
      <c r="CS80" s="184"/>
      <c r="CT80" s="232"/>
      <c r="CU80" s="232"/>
      <c r="CV80" s="232"/>
    </row>
    <row r="81" spans="1:100" x14ac:dyDescent="0.25">
      <c r="A81" s="230" t="s">
        <v>1045</v>
      </c>
      <c r="B81" s="146" t="s">
        <v>1112</v>
      </c>
      <c r="C81" s="146" t="s">
        <v>905</v>
      </c>
      <c r="L81" s="146" t="s">
        <v>1112</v>
      </c>
      <c r="M81" s="192" t="s">
        <v>1045</v>
      </c>
      <c r="N81" s="170"/>
      <c r="O81" s="170"/>
      <c r="V81" s="231" t="s">
        <v>204</v>
      </c>
      <c r="AV81" s="203" t="s">
        <v>1113</v>
      </c>
      <c r="CQ81" s="232"/>
      <c r="CR81" s="184"/>
      <c r="CS81" s="184"/>
      <c r="CT81" s="232"/>
      <c r="CU81" s="232"/>
      <c r="CV81" s="232"/>
    </row>
    <row r="82" spans="1:100" x14ac:dyDescent="0.25">
      <c r="A82" s="228" t="s">
        <v>1049</v>
      </c>
      <c r="B82" s="146" t="s">
        <v>1114</v>
      </c>
      <c r="C82" s="146" t="s">
        <v>910</v>
      </c>
      <c r="L82" s="146" t="s">
        <v>1114</v>
      </c>
      <c r="M82" s="192" t="s">
        <v>1049</v>
      </c>
      <c r="N82" s="170"/>
      <c r="O82" s="170"/>
      <c r="V82" s="231" t="s">
        <v>204</v>
      </c>
      <c r="AV82" s="203" t="s">
        <v>1115</v>
      </c>
      <c r="CQ82" s="232"/>
      <c r="CR82" s="597"/>
      <c r="CS82" s="597"/>
      <c r="CT82" s="232"/>
      <c r="CU82" s="232"/>
      <c r="CV82" s="232"/>
    </row>
    <row r="83" spans="1:100" x14ac:dyDescent="0.25">
      <c r="A83" s="228" t="s">
        <v>1053</v>
      </c>
      <c r="B83" s="146" t="s">
        <v>1116</v>
      </c>
      <c r="C83" s="146" t="s">
        <v>919</v>
      </c>
      <c r="L83" s="146" t="s">
        <v>1116</v>
      </c>
      <c r="M83" s="192" t="s">
        <v>1053</v>
      </c>
      <c r="N83" s="221"/>
      <c r="O83" s="221"/>
      <c r="V83" s="231" t="s">
        <v>1061</v>
      </c>
      <c r="AE83" s="182"/>
      <c r="AF83" s="182"/>
      <c r="AV83" s="166" t="s">
        <v>1117</v>
      </c>
      <c r="CQ83" s="236"/>
      <c r="CR83" s="184"/>
      <c r="CS83" s="184"/>
      <c r="CT83" s="236"/>
      <c r="CU83" s="236"/>
      <c r="CV83" s="236"/>
    </row>
    <row r="84" spans="1:100" x14ac:dyDescent="0.25">
      <c r="A84" s="228" t="s">
        <v>1058</v>
      </c>
      <c r="B84" s="146" t="s">
        <v>1118</v>
      </c>
      <c r="C84" s="146" t="s">
        <v>926</v>
      </c>
      <c r="L84" s="146" t="s">
        <v>1118</v>
      </c>
      <c r="M84" s="192" t="s">
        <v>1119</v>
      </c>
      <c r="N84" s="221"/>
      <c r="O84" s="221"/>
      <c r="V84" s="231" t="s">
        <v>204</v>
      </c>
      <c r="AV84" s="166" t="s">
        <v>1120</v>
      </c>
      <c r="CQ84" s="236"/>
      <c r="CR84" s="236"/>
      <c r="CS84" s="236"/>
      <c r="CT84" s="236"/>
      <c r="CU84" s="236"/>
      <c r="CV84" s="236"/>
    </row>
    <row r="85" spans="1:100" x14ac:dyDescent="0.25">
      <c r="A85" s="228" t="s">
        <v>1064</v>
      </c>
      <c r="B85" s="146" t="s">
        <v>1121</v>
      </c>
      <c r="C85" s="146" t="s">
        <v>934</v>
      </c>
      <c r="L85" s="146" t="s">
        <v>1121</v>
      </c>
      <c r="M85" s="235" t="s">
        <v>1122</v>
      </c>
      <c r="N85" s="221" t="s">
        <v>1123</v>
      </c>
      <c r="O85" s="221" t="s">
        <v>1124</v>
      </c>
      <c r="V85" s="231" t="s">
        <v>204</v>
      </c>
      <c r="AV85" s="166" t="s">
        <v>1125</v>
      </c>
      <c r="CQ85" s="236"/>
      <c r="CR85" s="236"/>
      <c r="CS85" s="236"/>
      <c r="CT85" s="236"/>
      <c r="CU85" s="236"/>
      <c r="CV85" s="236"/>
    </row>
    <row r="86" spans="1:100" ht="15.75" thickBot="1" x14ac:dyDescent="0.3">
      <c r="A86" s="233" t="s">
        <v>1070</v>
      </c>
      <c r="B86" s="146" t="s">
        <v>1126</v>
      </c>
      <c r="C86" s="146" t="s">
        <v>942</v>
      </c>
      <c r="L86" s="146" t="s">
        <v>1126</v>
      </c>
      <c r="M86" s="223" t="s">
        <v>1070</v>
      </c>
      <c r="N86" s="216"/>
      <c r="O86" s="216"/>
      <c r="V86" s="237" t="s">
        <v>216</v>
      </c>
      <c r="AV86" s="203" t="s">
        <v>1127</v>
      </c>
      <c r="CQ86" s="238"/>
      <c r="CR86" s="598"/>
      <c r="CS86" s="598"/>
      <c r="CT86" s="238"/>
      <c r="CU86" s="238"/>
      <c r="CV86" s="238"/>
    </row>
    <row r="87" spans="1:100" x14ac:dyDescent="0.25">
      <c r="AV87" s="203" t="s">
        <v>1128</v>
      </c>
      <c r="CR87" s="164"/>
      <c r="CS87" s="164"/>
    </row>
    <row r="88" spans="1:100" x14ac:dyDescent="0.25">
      <c r="AV88" s="166" t="s">
        <v>1129</v>
      </c>
      <c r="CR88" s="164"/>
      <c r="CS88" s="164"/>
    </row>
    <row r="89" spans="1:100" x14ac:dyDescent="0.25">
      <c r="AV89" s="166" t="s">
        <v>1130</v>
      </c>
      <c r="CR89" s="164"/>
      <c r="CS89" s="164"/>
    </row>
    <row r="90" spans="1:100" x14ac:dyDescent="0.25">
      <c r="AV90" s="166" t="s">
        <v>1131</v>
      </c>
      <c r="CR90" s="164"/>
      <c r="CS90" s="164"/>
    </row>
    <row r="91" spans="1:100" x14ac:dyDescent="0.25">
      <c r="AV91" s="203" t="s">
        <v>1132</v>
      </c>
      <c r="CR91" s="164"/>
      <c r="CS91" s="164"/>
    </row>
    <row r="92" spans="1:100" x14ac:dyDescent="0.25">
      <c r="AV92" s="166" t="s">
        <v>1133</v>
      </c>
      <c r="CR92" s="164"/>
      <c r="CS92" s="164"/>
    </row>
    <row r="93" spans="1:100" x14ac:dyDescent="0.25">
      <c r="AV93" s="166" t="s">
        <v>1134</v>
      </c>
      <c r="CR93" s="164"/>
      <c r="CS93" s="164"/>
    </row>
    <row r="94" spans="1:100" x14ac:dyDescent="0.25">
      <c r="AV94" s="166" t="s">
        <v>1135</v>
      </c>
      <c r="CR94" s="164"/>
      <c r="CS94" s="164"/>
    </row>
    <row r="95" spans="1:100" x14ac:dyDescent="0.25">
      <c r="AV95" s="166" t="s">
        <v>1136</v>
      </c>
      <c r="CR95" s="164"/>
      <c r="CS95" s="164"/>
    </row>
    <row r="96" spans="1:100" x14ac:dyDescent="0.25">
      <c r="AV96" s="166" t="s">
        <v>1137</v>
      </c>
      <c r="CR96" s="164"/>
      <c r="CS96" s="164"/>
    </row>
    <row r="97" spans="1:97" x14ac:dyDescent="0.25">
      <c r="AV97" s="239" t="s">
        <v>1138</v>
      </c>
      <c r="CR97" s="164"/>
      <c r="CS97" s="164"/>
    </row>
    <row r="98" spans="1:97" x14ac:dyDescent="0.25">
      <c r="CR98" s="164"/>
      <c r="CS98" s="164"/>
    </row>
    <row r="99" spans="1:97" x14ac:dyDescent="0.25">
      <c r="CR99" s="164"/>
      <c r="CS99" s="164"/>
    </row>
    <row r="100" spans="1:97" x14ac:dyDescent="0.25">
      <c r="CR100" s="164"/>
      <c r="CS100" s="164"/>
    </row>
    <row r="101" spans="1:97" x14ac:dyDescent="0.25">
      <c r="CR101" s="164"/>
      <c r="CS101" s="164"/>
    </row>
    <row r="102" spans="1:97" x14ac:dyDescent="0.25">
      <c r="CR102" s="164"/>
      <c r="CS102" s="164"/>
    </row>
    <row r="103" spans="1:97" x14ac:dyDescent="0.25">
      <c r="CR103" s="164"/>
      <c r="CS103" s="164"/>
    </row>
    <row r="104" spans="1:97" x14ac:dyDescent="0.25">
      <c r="CR104" s="164"/>
      <c r="CS104" s="164"/>
    </row>
    <row r="105" spans="1:97" x14ac:dyDescent="0.25">
      <c r="CR105" s="164"/>
      <c r="CS105" s="164"/>
    </row>
    <row r="106" spans="1:97" x14ac:dyDescent="0.25">
      <c r="CR106" s="164"/>
      <c r="CS106" s="164"/>
    </row>
    <row r="107" spans="1:97" x14ac:dyDescent="0.25">
      <c r="CR107" s="164"/>
      <c r="CS107" s="164"/>
    </row>
    <row r="108" spans="1:97" x14ac:dyDescent="0.25">
      <c r="CR108" s="164"/>
      <c r="CS108" s="164"/>
    </row>
    <row r="109" spans="1:97" x14ac:dyDescent="0.25">
      <c r="CR109" s="164"/>
      <c r="CS109" s="164"/>
    </row>
    <row r="110" spans="1:97" x14ac:dyDescent="0.25">
      <c r="CR110" s="164"/>
      <c r="CS110" s="164"/>
    </row>
    <row r="111" spans="1:97" ht="81.75" thickBot="1" x14ac:dyDescent="0.3">
      <c r="B111" s="229" t="s">
        <v>335</v>
      </c>
      <c r="C111" s="240" t="s">
        <v>336</v>
      </c>
      <c r="D111" s="241" t="s">
        <v>455</v>
      </c>
      <c r="E111" s="232" t="s">
        <v>456</v>
      </c>
      <c r="F111" s="240" t="s">
        <v>457</v>
      </c>
      <c r="G111" s="240" t="s">
        <v>458</v>
      </c>
      <c r="H111" s="232" t="s">
        <v>459</v>
      </c>
      <c r="I111" s="232" t="s">
        <v>460</v>
      </c>
      <c r="J111" s="232" t="s">
        <v>461</v>
      </c>
      <c r="K111" s="232" t="s">
        <v>462</v>
      </c>
      <c r="L111" s="232" t="s">
        <v>463</v>
      </c>
      <c r="M111" s="232" t="s">
        <v>464</v>
      </c>
      <c r="N111" s="232" t="s">
        <v>465</v>
      </c>
      <c r="O111" s="232" t="s">
        <v>466</v>
      </c>
      <c r="P111" s="232" t="s">
        <v>467</v>
      </c>
      <c r="Q111" s="232" t="s">
        <v>468</v>
      </c>
      <c r="R111" s="232" t="s">
        <v>469</v>
      </c>
      <c r="S111" s="232" t="s">
        <v>470</v>
      </c>
      <c r="T111" s="232" t="s">
        <v>471</v>
      </c>
      <c r="U111" s="242" t="s">
        <v>1139</v>
      </c>
      <c r="V111" s="240" t="s">
        <v>508</v>
      </c>
      <c r="W111" s="232" t="s">
        <v>509</v>
      </c>
      <c r="X111" s="232" t="s">
        <v>510</v>
      </c>
      <c r="Y111" s="232" t="s">
        <v>511</v>
      </c>
      <c r="Z111" s="240" t="s">
        <v>512</v>
      </c>
      <c r="AA111" s="229" t="s">
        <v>567</v>
      </c>
      <c r="AB111" s="229" t="s">
        <v>597</v>
      </c>
      <c r="AC111" s="229" t="s">
        <v>616</v>
      </c>
      <c r="AD111" s="240" t="s">
        <v>617</v>
      </c>
      <c r="AE111" s="229" t="s">
        <v>636</v>
      </c>
      <c r="AF111" s="229" t="s">
        <v>512</v>
      </c>
      <c r="AG111" s="229" t="s">
        <v>706</v>
      </c>
      <c r="AH111" s="240" t="s">
        <v>707</v>
      </c>
      <c r="AI111" s="229" t="s">
        <v>726</v>
      </c>
      <c r="AJ111" s="229" t="s">
        <v>746</v>
      </c>
      <c r="AK111" s="229" t="s">
        <v>762</v>
      </c>
      <c r="AL111" s="240" t="s">
        <v>763</v>
      </c>
      <c r="AM111" s="240" t="s">
        <v>764</v>
      </c>
      <c r="AN111" s="240" t="s">
        <v>765</v>
      </c>
      <c r="AO111" s="240" t="s">
        <v>766</v>
      </c>
      <c r="AP111" s="240" t="s">
        <v>767</v>
      </c>
      <c r="AQ111" s="243" t="s">
        <v>763</v>
      </c>
      <c r="AR111" s="244" t="s">
        <v>914</v>
      </c>
      <c r="AS111" s="241" t="s">
        <v>1060</v>
      </c>
      <c r="AT111" s="244" t="s">
        <v>1055</v>
      </c>
      <c r="AU111" s="241" t="s">
        <v>1021</v>
      </c>
      <c r="AV111" s="241" t="s">
        <v>1029</v>
      </c>
      <c r="AW111" s="241" t="s">
        <v>1035</v>
      </c>
      <c r="AX111" s="245" t="s">
        <v>1140</v>
      </c>
      <c r="AY111" s="245" t="s">
        <v>1141</v>
      </c>
      <c r="AZ111" s="245" t="s">
        <v>1142</v>
      </c>
      <c r="BA111" s="245" t="s">
        <v>1143</v>
      </c>
      <c r="BB111" s="241" t="s">
        <v>1075</v>
      </c>
      <c r="BC111" s="241" t="s">
        <v>1040</v>
      </c>
      <c r="BD111" s="241" t="s">
        <v>1045</v>
      </c>
      <c r="BE111" s="241" t="s">
        <v>1066</v>
      </c>
      <c r="BF111" s="241" t="s">
        <v>1144</v>
      </c>
      <c r="BG111" s="241" t="s">
        <v>1145</v>
      </c>
      <c r="BH111" s="232" t="s">
        <v>1067</v>
      </c>
      <c r="BI111" s="232" t="s">
        <v>1146</v>
      </c>
      <c r="BJ111" s="232" t="s">
        <v>1049</v>
      </c>
      <c r="BK111" s="232" t="s">
        <v>1083</v>
      </c>
      <c r="BL111" s="232" t="s">
        <v>1053</v>
      </c>
      <c r="BM111" s="236" t="s">
        <v>1087</v>
      </c>
      <c r="BN111" s="232" t="s">
        <v>1119</v>
      </c>
      <c r="BO111" s="236" t="s">
        <v>1123</v>
      </c>
      <c r="BP111" s="236" t="s">
        <v>1122</v>
      </c>
      <c r="BQ111" s="236" t="s">
        <v>1124</v>
      </c>
      <c r="BR111" s="236" t="s">
        <v>1099</v>
      </c>
      <c r="BS111" s="232" t="s">
        <v>1147</v>
      </c>
      <c r="BT111" s="232" t="s">
        <v>1148</v>
      </c>
      <c r="BU111" s="232" t="s">
        <v>1149</v>
      </c>
      <c r="BV111" s="232" t="s">
        <v>1100</v>
      </c>
      <c r="BW111" s="232" t="s">
        <v>1072</v>
      </c>
      <c r="BX111" s="236" t="s">
        <v>838</v>
      </c>
      <c r="BY111" s="232" t="s">
        <v>1070</v>
      </c>
      <c r="BZ111" s="236" t="s">
        <v>1086</v>
      </c>
      <c r="CA111" s="236" t="s">
        <v>490</v>
      </c>
      <c r="CB111" s="236" t="s">
        <v>1091</v>
      </c>
      <c r="CC111" s="236" t="s">
        <v>1096</v>
      </c>
      <c r="CD111" s="232" t="s">
        <v>1080</v>
      </c>
      <c r="CE111" s="232" t="s">
        <v>1150</v>
      </c>
      <c r="CR111" s="164"/>
      <c r="CS111" s="164"/>
    </row>
    <row r="112" spans="1:97" x14ac:dyDescent="0.25">
      <c r="A112" s="146" t="s">
        <v>913</v>
      </c>
      <c r="B112" s="246" t="s">
        <v>343</v>
      </c>
      <c r="C112" s="246" t="s">
        <v>343</v>
      </c>
      <c r="CP112" s="232"/>
      <c r="CR112" s="164"/>
      <c r="CS112" s="164"/>
    </row>
    <row r="113" spans="1:97" x14ac:dyDescent="0.25">
      <c r="A113" s="146" t="s">
        <v>922</v>
      </c>
      <c r="B113" s="246" t="s">
        <v>343</v>
      </c>
      <c r="C113" s="246" t="s">
        <v>343</v>
      </c>
      <c r="CP113" s="232"/>
      <c r="CR113" s="164"/>
      <c r="CS113" s="164"/>
    </row>
    <row r="114" spans="1:97" x14ac:dyDescent="0.25">
      <c r="A114" s="146" t="s">
        <v>930</v>
      </c>
      <c r="B114" s="246" t="s">
        <v>343</v>
      </c>
      <c r="C114" s="246" t="s">
        <v>343</v>
      </c>
      <c r="CP114" s="232"/>
      <c r="CR114" s="164"/>
      <c r="CS114" s="164"/>
    </row>
    <row r="115" spans="1:97" x14ac:dyDescent="0.25">
      <c r="A115" s="146" t="s">
        <v>937</v>
      </c>
      <c r="D115" s="246" t="s">
        <v>216</v>
      </c>
      <c r="E115" s="246" t="s">
        <v>216</v>
      </c>
      <c r="F115" s="246" t="s">
        <v>216</v>
      </c>
      <c r="G115" s="246" t="s">
        <v>216</v>
      </c>
      <c r="H115" s="246" t="s">
        <v>216</v>
      </c>
      <c r="I115" s="246" t="s">
        <v>216</v>
      </c>
      <c r="J115" s="246" t="s">
        <v>216</v>
      </c>
      <c r="K115" s="246" t="s">
        <v>216</v>
      </c>
      <c r="L115" s="246" t="s">
        <v>216</v>
      </c>
      <c r="M115" s="246" t="s">
        <v>216</v>
      </c>
      <c r="N115" s="246" t="s">
        <v>216</v>
      </c>
      <c r="O115" s="246" t="s">
        <v>216</v>
      </c>
      <c r="P115" s="246" t="s">
        <v>216</v>
      </c>
      <c r="Q115" s="246" t="s">
        <v>216</v>
      </c>
      <c r="R115" s="246" t="s">
        <v>216</v>
      </c>
      <c r="S115" s="246" t="s">
        <v>216</v>
      </c>
      <c r="T115" s="246" t="s">
        <v>216</v>
      </c>
      <c r="CP115" s="236"/>
      <c r="CR115" s="164"/>
      <c r="CS115" s="164"/>
    </row>
    <row r="116" spans="1:97" x14ac:dyDescent="0.25">
      <c r="A116" s="146" t="s">
        <v>944</v>
      </c>
      <c r="U116" s="146" t="s">
        <v>216</v>
      </c>
      <c r="V116" s="146" t="s">
        <v>216</v>
      </c>
      <c r="W116" s="146" t="s">
        <v>216</v>
      </c>
      <c r="X116" s="146" t="s">
        <v>216</v>
      </c>
      <c r="Y116" s="146" t="s">
        <v>216</v>
      </c>
      <c r="Z116" s="146" t="s">
        <v>216</v>
      </c>
      <c r="CP116" s="236"/>
      <c r="CR116" s="164"/>
      <c r="CS116" s="164"/>
    </row>
    <row r="117" spans="1:97" x14ac:dyDescent="0.25">
      <c r="A117" s="146" t="s">
        <v>950</v>
      </c>
      <c r="U117" s="146" t="s">
        <v>216</v>
      </c>
      <c r="V117" s="146" t="s">
        <v>216</v>
      </c>
      <c r="W117" s="146" t="s">
        <v>216</v>
      </c>
      <c r="X117" s="146" t="s">
        <v>216</v>
      </c>
      <c r="CR117" s="164"/>
      <c r="CS117" s="164"/>
    </row>
    <row r="118" spans="1:97" x14ac:dyDescent="0.25">
      <c r="A118" s="146" t="s">
        <v>956</v>
      </c>
      <c r="B118" s="146" t="s">
        <v>204</v>
      </c>
      <c r="C118" s="146" t="s">
        <v>204</v>
      </c>
      <c r="AA118" s="146" t="s">
        <v>204</v>
      </c>
      <c r="CR118" s="164"/>
      <c r="CS118" s="164"/>
    </row>
    <row r="119" spans="1:97" x14ac:dyDescent="0.25">
      <c r="A119" s="146" t="s">
        <v>962</v>
      </c>
      <c r="AB119" s="146" t="s">
        <v>216</v>
      </c>
      <c r="CR119" s="164"/>
      <c r="CS119" s="164"/>
    </row>
    <row r="120" spans="1:97" x14ac:dyDescent="0.25">
      <c r="A120" s="146" t="s">
        <v>968</v>
      </c>
      <c r="AC120" s="146" t="s">
        <v>216</v>
      </c>
      <c r="AD120" s="146" t="s">
        <v>216</v>
      </c>
      <c r="CR120" s="164"/>
      <c r="CS120" s="164"/>
    </row>
    <row r="121" spans="1:97" x14ac:dyDescent="0.25">
      <c r="A121" s="146" t="s">
        <v>974</v>
      </c>
      <c r="AE121" s="146" t="s">
        <v>204</v>
      </c>
      <c r="CR121" s="164"/>
      <c r="CS121" s="164"/>
    </row>
    <row r="122" spans="1:97" x14ac:dyDescent="0.25">
      <c r="A122" s="146" t="s">
        <v>981</v>
      </c>
      <c r="AF122" s="146" t="s">
        <v>204</v>
      </c>
      <c r="CR122" s="164"/>
      <c r="CS122" s="164"/>
    </row>
    <row r="123" spans="1:97" x14ac:dyDescent="0.25">
      <c r="A123" s="146" t="s">
        <v>989</v>
      </c>
      <c r="B123" s="146" t="s">
        <v>216</v>
      </c>
      <c r="C123" s="146" t="s">
        <v>216</v>
      </c>
      <c r="CR123" s="164"/>
      <c r="CS123" s="164"/>
    </row>
    <row r="124" spans="1:97" x14ac:dyDescent="0.25">
      <c r="A124" s="146" t="s">
        <v>995</v>
      </c>
      <c r="B124" s="146" t="s">
        <v>204</v>
      </c>
      <c r="C124" s="146" t="s">
        <v>204</v>
      </c>
      <c r="AG124" s="146" t="s">
        <v>204</v>
      </c>
      <c r="AH124" s="146" t="s">
        <v>204</v>
      </c>
      <c r="CR124" s="164"/>
      <c r="CS124" s="164"/>
    </row>
    <row r="125" spans="1:97" x14ac:dyDescent="0.25">
      <c r="A125" s="146" t="s">
        <v>1007</v>
      </c>
      <c r="AI125" s="146" t="s">
        <v>204</v>
      </c>
      <c r="CR125" s="164"/>
      <c r="CS125" s="164"/>
    </row>
    <row r="126" spans="1:97" x14ac:dyDescent="0.25">
      <c r="A126" s="146" t="s">
        <v>1014</v>
      </c>
      <c r="AJ126" s="146" t="s">
        <v>216</v>
      </c>
      <c r="CR126" s="164"/>
      <c r="CS126" s="164"/>
    </row>
    <row r="127" spans="1:97" x14ac:dyDescent="0.25">
      <c r="A127" s="146" t="s">
        <v>1020</v>
      </c>
      <c r="B127" s="146" t="s">
        <v>204</v>
      </c>
      <c r="C127" s="146" t="s">
        <v>204</v>
      </c>
      <c r="Z127" s="146" t="s">
        <v>204</v>
      </c>
      <c r="AA127" s="146" t="s">
        <v>204</v>
      </c>
      <c r="AH127" s="146" t="s">
        <v>204</v>
      </c>
      <c r="AK127" s="146" t="s">
        <v>204</v>
      </c>
      <c r="AL127" s="146" t="s">
        <v>204</v>
      </c>
      <c r="AM127" s="146" t="s">
        <v>204</v>
      </c>
      <c r="AN127" s="146" t="s">
        <v>204</v>
      </c>
      <c r="AO127" s="146" t="s">
        <v>204</v>
      </c>
      <c r="AP127" s="146" t="s">
        <v>204</v>
      </c>
      <c r="CR127" s="164"/>
      <c r="CS127" s="164"/>
    </row>
    <row r="128" spans="1:97" x14ac:dyDescent="0.25">
      <c r="A128" s="146" t="s">
        <v>1028</v>
      </c>
      <c r="V128" s="146" t="s">
        <v>216</v>
      </c>
      <c r="X128" s="146" t="s">
        <v>216</v>
      </c>
      <c r="CR128" s="164"/>
      <c r="CS128" s="164"/>
    </row>
    <row r="129" spans="1:97" x14ac:dyDescent="0.25">
      <c r="A129" s="146" t="s">
        <v>1034</v>
      </c>
      <c r="U129" s="146" t="s">
        <v>216</v>
      </c>
      <c r="V129" s="146" t="s">
        <v>216</v>
      </c>
      <c r="W129" s="146" t="s">
        <v>216</v>
      </c>
      <c r="X129" s="146" t="s">
        <v>216</v>
      </c>
      <c r="CR129" s="164"/>
      <c r="CS129" s="164"/>
    </row>
    <row r="130" spans="1:97" x14ac:dyDescent="0.25">
      <c r="A130" s="146" t="s">
        <v>1039</v>
      </c>
      <c r="U130" s="146" t="s">
        <v>216</v>
      </c>
      <c r="V130" s="146" t="s">
        <v>216</v>
      </c>
      <c r="W130" s="146" t="s">
        <v>216</v>
      </c>
      <c r="X130" s="146" t="s">
        <v>216</v>
      </c>
      <c r="CR130" s="164"/>
      <c r="CS130" s="164"/>
    </row>
    <row r="131" spans="1:97" x14ac:dyDescent="0.25">
      <c r="A131" s="146" t="s">
        <v>1044</v>
      </c>
      <c r="C131" s="146" t="s">
        <v>204</v>
      </c>
      <c r="AM131" s="146" t="s">
        <v>204</v>
      </c>
      <c r="AQ131" s="146" t="s">
        <v>204</v>
      </c>
      <c r="CR131" s="164"/>
      <c r="CS131" s="164"/>
    </row>
    <row r="132" spans="1:97" x14ac:dyDescent="0.25">
      <c r="A132" s="146" t="s">
        <v>1048</v>
      </c>
      <c r="AR132" s="146" t="s">
        <v>204</v>
      </c>
      <c r="CR132" s="164"/>
      <c r="CS132" s="164"/>
    </row>
    <row r="133" spans="1:97" x14ac:dyDescent="0.25">
      <c r="A133" s="146" t="s">
        <v>1052</v>
      </c>
      <c r="AT133" s="248" t="s">
        <v>204</v>
      </c>
      <c r="CR133" s="164"/>
      <c r="CS133" s="164"/>
    </row>
    <row r="134" spans="1:97" x14ac:dyDescent="0.25">
      <c r="A134" s="146" t="s">
        <v>1057</v>
      </c>
      <c r="AS134" s="146" t="s">
        <v>1061</v>
      </c>
      <c r="CR134" s="164"/>
      <c r="CS134" s="164"/>
    </row>
    <row r="135" spans="1:97" x14ac:dyDescent="0.25">
      <c r="A135" s="146" t="s">
        <v>1063</v>
      </c>
      <c r="BE135" s="146" t="s">
        <v>1061</v>
      </c>
      <c r="BF135" s="146" t="s">
        <v>1061</v>
      </c>
      <c r="BG135" s="146" t="s">
        <v>1061</v>
      </c>
      <c r="BH135" s="146" t="s">
        <v>1061</v>
      </c>
      <c r="CE135" s="146" t="s">
        <v>1061</v>
      </c>
      <c r="CR135" s="164"/>
      <c r="CS135" s="164"/>
    </row>
    <row r="136" spans="1:97" x14ac:dyDescent="0.25">
      <c r="A136" s="146" t="s">
        <v>1069</v>
      </c>
      <c r="BW136" s="248" t="s">
        <v>1061</v>
      </c>
      <c r="CR136" s="164"/>
      <c r="CS136" s="164"/>
    </row>
    <row r="137" spans="1:97" x14ac:dyDescent="0.25">
      <c r="A137" s="146" t="s">
        <v>1074</v>
      </c>
      <c r="BB137" s="146" t="s">
        <v>204</v>
      </c>
      <c r="CR137" s="164"/>
      <c r="CS137" s="164"/>
    </row>
    <row r="138" spans="1:97" x14ac:dyDescent="0.25">
      <c r="A138" s="146" t="s">
        <v>1077</v>
      </c>
      <c r="BE138" s="146" t="s">
        <v>1061</v>
      </c>
      <c r="BF138" s="146" t="s">
        <v>1061</v>
      </c>
      <c r="BG138" s="146" t="s">
        <v>1061</v>
      </c>
      <c r="BH138" s="146" t="s">
        <v>1061</v>
      </c>
      <c r="CE138" s="146" t="s">
        <v>1061</v>
      </c>
      <c r="CR138" s="164"/>
      <c r="CS138" s="164"/>
    </row>
    <row r="139" spans="1:97" x14ac:dyDescent="0.25">
      <c r="A139" s="146" t="s">
        <v>1079</v>
      </c>
      <c r="CD139" s="146" t="s">
        <v>204</v>
      </c>
      <c r="CR139" s="164"/>
      <c r="CS139" s="164"/>
    </row>
    <row r="140" spans="1:97" x14ac:dyDescent="0.25">
      <c r="A140" s="146" t="s">
        <v>1082</v>
      </c>
      <c r="BK140" s="146" t="s">
        <v>216</v>
      </c>
      <c r="CR140" s="164"/>
      <c r="CS140" s="164"/>
    </row>
    <row r="141" spans="1:97" x14ac:dyDescent="0.25">
      <c r="A141" s="146" t="s">
        <v>1085</v>
      </c>
      <c r="BM141" s="146" t="s">
        <v>1088</v>
      </c>
      <c r="BZ141" s="146" t="s">
        <v>1088</v>
      </c>
      <c r="CR141" s="164"/>
      <c r="CS141" s="164"/>
    </row>
    <row r="142" spans="1:97" x14ac:dyDescent="0.25">
      <c r="A142" s="146" t="s">
        <v>1090</v>
      </c>
      <c r="BI142" s="146" t="s">
        <v>204</v>
      </c>
      <c r="CA142" s="146" t="s">
        <v>204</v>
      </c>
      <c r="CB142" s="146" t="s">
        <v>204</v>
      </c>
      <c r="CR142" s="164"/>
      <c r="CS142" s="164"/>
    </row>
    <row r="143" spans="1:97" x14ac:dyDescent="0.25">
      <c r="A143" s="146" t="s">
        <v>1093</v>
      </c>
      <c r="BX143" s="146" t="s">
        <v>204</v>
      </c>
      <c r="CR143" s="164"/>
      <c r="CS143" s="164"/>
    </row>
    <row r="144" spans="1:97" x14ac:dyDescent="0.25">
      <c r="A144" s="146" t="s">
        <v>1095</v>
      </c>
      <c r="CC144" s="248" t="s">
        <v>1061</v>
      </c>
      <c r="CR144" s="164"/>
      <c r="CS144" s="164"/>
    </row>
    <row r="145" spans="1:97" x14ac:dyDescent="0.25">
      <c r="A145" s="146" t="s">
        <v>1098</v>
      </c>
      <c r="BR145" s="248" t="s">
        <v>1061</v>
      </c>
      <c r="BS145" s="248" t="s">
        <v>1061</v>
      </c>
      <c r="BT145" s="248" t="s">
        <v>1061</v>
      </c>
      <c r="BU145" s="248" t="s">
        <v>1061</v>
      </c>
      <c r="BV145" s="248" t="s">
        <v>1061</v>
      </c>
      <c r="CR145" s="164"/>
      <c r="CS145" s="164"/>
    </row>
    <row r="146" spans="1:97" x14ac:dyDescent="0.25">
      <c r="A146" s="146" t="s">
        <v>1102</v>
      </c>
      <c r="BE146" s="248" t="s">
        <v>1061</v>
      </c>
      <c r="BF146" s="248" t="s">
        <v>1061</v>
      </c>
      <c r="BG146" s="248" t="s">
        <v>1061</v>
      </c>
      <c r="BH146" s="248" t="s">
        <v>1061</v>
      </c>
      <c r="CE146" s="248" t="s">
        <v>1061</v>
      </c>
      <c r="CR146" s="164"/>
      <c r="CS146" s="164"/>
    </row>
    <row r="147" spans="1:97" x14ac:dyDescent="0.25">
      <c r="A147" s="146" t="s">
        <v>1104</v>
      </c>
      <c r="AU147" s="248" t="s">
        <v>204</v>
      </c>
      <c r="CR147" s="164"/>
      <c r="CS147" s="164"/>
    </row>
    <row r="148" spans="1:97" x14ac:dyDescent="0.25">
      <c r="A148" s="146" t="s">
        <v>1106</v>
      </c>
      <c r="AV148" s="248" t="s">
        <v>204</v>
      </c>
      <c r="CR148" s="164"/>
      <c r="CS148" s="164"/>
    </row>
    <row r="149" spans="1:97" x14ac:dyDescent="0.25">
      <c r="A149" s="146" t="s">
        <v>1108</v>
      </c>
      <c r="AW149" s="146" t="s">
        <v>343</v>
      </c>
      <c r="CR149" s="164"/>
      <c r="CS149" s="164"/>
    </row>
    <row r="150" spans="1:97" x14ac:dyDescent="0.25">
      <c r="A150" s="146" t="s">
        <v>1110</v>
      </c>
      <c r="BC150" s="248" t="s">
        <v>204</v>
      </c>
      <c r="CR150" s="164"/>
      <c r="CS150" s="164"/>
    </row>
    <row r="151" spans="1:97" x14ac:dyDescent="0.25">
      <c r="A151" s="146" t="s">
        <v>1112</v>
      </c>
      <c r="BD151" s="248" t="s">
        <v>204</v>
      </c>
      <c r="CR151" s="164"/>
      <c r="CS151" s="164"/>
    </row>
    <row r="152" spans="1:97" x14ac:dyDescent="0.25">
      <c r="A152" s="146" t="s">
        <v>1114</v>
      </c>
      <c r="BJ152" s="231" t="s">
        <v>204</v>
      </c>
      <c r="CR152" s="164"/>
      <c r="CS152" s="164"/>
    </row>
    <row r="153" spans="1:97" x14ac:dyDescent="0.25">
      <c r="A153" s="146" t="s">
        <v>1116</v>
      </c>
      <c r="BL153" s="248" t="s">
        <v>1061</v>
      </c>
      <c r="CR153" s="164"/>
      <c r="CS153" s="164"/>
    </row>
    <row r="154" spans="1:97" x14ac:dyDescent="0.25">
      <c r="A154" s="146" t="s">
        <v>1118</v>
      </c>
      <c r="BN154" s="248" t="s">
        <v>204</v>
      </c>
      <c r="CR154" s="164"/>
      <c r="CS154" s="164"/>
    </row>
    <row r="155" spans="1:97" x14ac:dyDescent="0.25">
      <c r="A155" s="146" t="s">
        <v>1121</v>
      </c>
      <c r="AX155" s="248" t="s">
        <v>204</v>
      </c>
      <c r="AY155" s="248" t="s">
        <v>204</v>
      </c>
      <c r="AZ155" s="248" t="s">
        <v>204</v>
      </c>
      <c r="BA155" s="248" t="s">
        <v>204</v>
      </c>
      <c r="BO155" s="248" t="s">
        <v>204</v>
      </c>
      <c r="BP155" s="248" t="s">
        <v>204</v>
      </c>
      <c r="BQ155" s="248" t="s">
        <v>204</v>
      </c>
      <c r="CR155" s="164"/>
      <c r="CS155" s="164"/>
    </row>
    <row r="156" spans="1:97" ht="15.75" thickBot="1" x14ac:dyDescent="0.3">
      <c r="A156" s="146" t="s">
        <v>1126</v>
      </c>
      <c r="BY156" s="237" t="s">
        <v>216</v>
      </c>
    </row>
    <row r="158" spans="1:97" x14ac:dyDescent="0.25">
      <c r="A158" s="224"/>
      <c r="B158" s="219" t="s">
        <v>912</v>
      </c>
      <c r="C158" s="248" t="s">
        <v>204</v>
      </c>
    </row>
    <row r="159" spans="1:97" x14ac:dyDescent="0.25">
      <c r="A159" s="249"/>
      <c r="B159" s="219" t="s">
        <v>921</v>
      </c>
      <c r="C159" s="248" t="s">
        <v>1061</v>
      </c>
    </row>
    <row r="160" spans="1:97" x14ac:dyDescent="0.25">
      <c r="A160" s="249"/>
      <c r="B160" s="219" t="s">
        <v>929</v>
      </c>
      <c r="C160" s="248" t="s">
        <v>1061</v>
      </c>
    </row>
    <row r="161" spans="1:3" x14ac:dyDescent="0.25">
      <c r="A161" s="168"/>
      <c r="B161" s="168" t="s">
        <v>936</v>
      </c>
      <c r="C161" s="248" t="s">
        <v>204</v>
      </c>
    </row>
    <row r="162" spans="1:3" x14ac:dyDescent="0.25">
      <c r="A162" s="224"/>
      <c r="B162" s="219" t="s">
        <v>943</v>
      </c>
      <c r="C162" s="248" t="s">
        <v>204</v>
      </c>
    </row>
    <row r="163" spans="1:3" x14ac:dyDescent="0.25">
      <c r="A163" s="249"/>
      <c r="B163" s="219" t="s">
        <v>949</v>
      </c>
      <c r="C163" s="248" t="s">
        <v>1061</v>
      </c>
    </row>
    <row r="164" spans="1:3" x14ac:dyDescent="0.25">
      <c r="A164" s="224"/>
      <c r="B164" s="250" t="s">
        <v>955</v>
      </c>
      <c r="C164" s="248" t="s">
        <v>204</v>
      </c>
    </row>
    <row r="165" spans="1:3" x14ac:dyDescent="0.25">
      <c r="A165" s="224"/>
      <c r="B165" s="250" t="s">
        <v>961</v>
      </c>
      <c r="C165" s="248" t="s">
        <v>204</v>
      </c>
    </row>
    <row r="166" spans="1:3" x14ac:dyDescent="0.25">
      <c r="A166" s="224"/>
      <c r="B166" s="250" t="s">
        <v>967</v>
      </c>
      <c r="C166" s="248" t="s">
        <v>204</v>
      </c>
    </row>
    <row r="167" spans="1:3" x14ac:dyDescent="0.25">
      <c r="A167" s="224"/>
      <c r="B167" s="250" t="s">
        <v>973</v>
      </c>
      <c r="C167" s="248" t="s">
        <v>204</v>
      </c>
    </row>
    <row r="168" spans="1:3" x14ac:dyDescent="0.25">
      <c r="A168" s="224"/>
      <c r="B168" s="250" t="s">
        <v>980</v>
      </c>
      <c r="C168" s="248" t="s">
        <v>204</v>
      </c>
    </row>
    <row r="169" spans="1:3" x14ac:dyDescent="0.25">
      <c r="A169" s="224"/>
      <c r="B169" s="250" t="s">
        <v>988</v>
      </c>
      <c r="C169" s="248" t="s">
        <v>204</v>
      </c>
    </row>
    <row r="170" spans="1:3" x14ac:dyDescent="0.25">
      <c r="A170" s="224"/>
      <c r="B170" s="250" t="s">
        <v>994</v>
      </c>
      <c r="C170" s="248" t="s">
        <v>204</v>
      </c>
    </row>
    <row r="171" spans="1:3" x14ac:dyDescent="0.25">
      <c r="A171" s="224"/>
      <c r="B171" s="250" t="s">
        <v>1006</v>
      </c>
      <c r="C171" s="248" t="s">
        <v>204</v>
      </c>
    </row>
    <row r="172" spans="1:3" x14ac:dyDescent="0.25">
      <c r="A172" s="224"/>
      <c r="B172" s="250" t="s">
        <v>1013</v>
      </c>
      <c r="C172" s="248" t="s">
        <v>204</v>
      </c>
    </row>
    <row r="173" spans="1:3" x14ac:dyDescent="0.25">
      <c r="A173" s="251"/>
      <c r="B173" s="250" t="s">
        <v>1019</v>
      </c>
      <c r="C173" s="248" t="s">
        <v>204</v>
      </c>
    </row>
    <row r="174" spans="1:3" x14ac:dyDescent="0.25">
      <c r="A174" s="224"/>
      <c r="B174" s="219" t="s">
        <v>1027</v>
      </c>
      <c r="C174" s="248" t="s">
        <v>1061</v>
      </c>
    </row>
    <row r="175" spans="1:3" x14ac:dyDescent="0.25">
      <c r="A175" s="192"/>
      <c r="B175" s="219" t="s">
        <v>1033</v>
      </c>
      <c r="C175" s="248" t="s">
        <v>1061</v>
      </c>
    </row>
    <row r="176" spans="1:3" x14ac:dyDescent="0.25">
      <c r="A176" s="192"/>
      <c r="B176" s="219" t="s">
        <v>1038</v>
      </c>
      <c r="C176" s="248" t="s">
        <v>1061</v>
      </c>
    </row>
    <row r="177" spans="1:3" ht="15.75" thickBot="1" x14ac:dyDescent="0.3">
      <c r="A177" s="252"/>
      <c r="B177" s="252" t="s">
        <v>1043</v>
      </c>
      <c r="C177" s="253" t="s">
        <v>204</v>
      </c>
    </row>
    <row r="178" spans="1:3" x14ac:dyDescent="0.25">
      <c r="A178" s="254"/>
      <c r="B178" s="220" t="s">
        <v>914</v>
      </c>
      <c r="C178" s="248" t="s">
        <v>204</v>
      </c>
    </row>
    <row r="179" spans="1:3" x14ac:dyDescent="0.25">
      <c r="A179" s="254"/>
      <c r="B179" s="220" t="s">
        <v>923</v>
      </c>
      <c r="C179" s="248" t="s">
        <v>204</v>
      </c>
    </row>
    <row r="180" spans="1:3" x14ac:dyDescent="0.25">
      <c r="A180" s="220"/>
      <c r="B180" s="219" t="s">
        <v>931</v>
      </c>
      <c r="C180" s="248" t="s">
        <v>1061</v>
      </c>
    </row>
    <row r="181" spans="1:3" x14ac:dyDescent="0.25">
      <c r="A181" s="255"/>
      <c r="B181" s="219" t="s">
        <v>938</v>
      </c>
      <c r="C181" s="248" t="s">
        <v>1061</v>
      </c>
    </row>
    <row r="182" spans="1:3" x14ac:dyDescent="0.25">
      <c r="A182" s="255"/>
      <c r="B182" s="219" t="s">
        <v>945</v>
      </c>
      <c r="C182" s="248" t="s">
        <v>1061</v>
      </c>
    </row>
    <row r="183" spans="1:3" x14ac:dyDescent="0.25">
      <c r="A183" s="255"/>
      <c r="B183" s="219" t="s">
        <v>951</v>
      </c>
      <c r="C183" s="248" t="s">
        <v>204</v>
      </c>
    </row>
    <row r="184" spans="1:3" x14ac:dyDescent="0.25">
      <c r="A184" s="255"/>
      <c r="B184" s="219" t="s">
        <v>957</v>
      </c>
      <c r="C184" s="248" t="s">
        <v>1061</v>
      </c>
    </row>
    <row r="185" spans="1:3" x14ac:dyDescent="0.25">
      <c r="A185" s="255"/>
      <c r="B185" s="219" t="s">
        <v>963</v>
      </c>
      <c r="C185" s="248" t="s">
        <v>204</v>
      </c>
    </row>
    <row r="186" spans="1:3" x14ac:dyDescent="0.25">
      <c r="A186" s="255"/>
      <c r="B186" s="219" t="s">
        <v>969</v>
      </c>
      <c r="C186" s="248" t="s">
        <v>216</v>
      </c>
    </row>
    <row r="187" spans="1:3" x14ac:dyDescent="0.25">
      <c r="A187" s="255"/>
      <c r="B187" s="219" t="s">
        <v>975</v>
      </c>
      <c r="C187" s="248" t="s">
        <v>1061</v>
      </c>
    </row>
    <row r="188" spans="1:3" x14ac:dyDescent="0.25">
      <c r="A188" s="255"/>
      <c r="B188" s="219" t="s">
        <v>982</v>
      </c>
      <c r="C188" s="248" t="s">
        <v>204</v>
      </c>
    </row>
    <row r="189" spans="1:3" x14ac:dyDescent="0.25">
      <c r="A189" s="255"/>
      <c r="B189" s="219" t="s">
        <v>990</v>
      </c>
      <c r="C189" s="248" t="s">
        <v>204</v>
      </c>
    </row>
    <row r="190" spans="1:3" x14ac:dyDescent="0.25">
      <c r="A190" s="255"/>
      <c r="B190" s="219" t="s">
        <v>996</v>
      </c>
      <c r="C190" s="248" t="s">
        <v>1061</v>
      </c>
    </row>
    <row r="191" spans="1:3" x14ac:dyDescent="0.25">
      <c r="A191" s="255"/>
      <c r="B191" s="219" t="s">
        <v>1008</v>
      </c>
      <c r="C191" s="248" t="s">
        <v>1061</v>
      </c>
    </row>
    <row r="192" spans="1:3" x14ac:dyDescent="0.25">
      <c r="A192" s="255"/>
      <c r="B192" s="219" t="s">
        <v>1015</v>
      </c>
      <c r="C192" s="248" t="s">
        <v>1061</v>
      </c>
    </row>
    <row r="193" spans="1:3" x14ac:dyDescent="0.25">
      <c r="A193" s="228"/>
      <c r="B193" s="228" t="s">
        <v>1021</v>
      </c>
      <c r="C193" s="248" t="s">
        <v>204</v>
      </c>
    </row>
    <row r="194" spans="1:3" x14ac:dyDescent="0.25">
      <c r="A194" s="228"/>
      <c r="B194" s="228" t="s">
        <v>1029</v>
      </c>
      <c r="C194" s="248" t="s">
        <v>204</v>
      </c>
    </row>
    <row r="195" spans="1:3" x14ac:dyDescent="0.25">
      <c r="A195" s="228"/>
      <c r="B195" s="228" t="s">
        <v>1035</v>
      </c>
      <c r="C195" s="248" t="s">
        <v>1061</v>
      </c>
    </row>
    <row r="196" spans="1:3" x14ac:dyDescent="0.25">
      <c r="A196" s="228"/>
      <c r="B196" s="228" t="s">
        <v>1040</v>
      </c>
      <c r="C196" s="248" t="s">
        <v>204</v>
      </c>
    </row>
    <row r="197" spans="1:3" x14ac:dyDescent="0.25">
      <c r="A197" s="230"/>
      <c r="B197" s="228" t="s">
        <v>1045</v>
      </c>
      <c r="C197" s="248" t="s">
        <v>204</v>
      </c>
    </row>
    <row r="198" spans="1:3" x14ac:dyDescent="0.25">
      <c r="A198" s="228"/>
      <c r="B198" s="228" t="s">
        <v>1049</v>
      </c>
      <c r="C198" s="248" t="s">
        <v>204</v>
      </c>
    </row>
    <row r="199" spans="1:3" x14ac:dyDescent="0.25">
      <c r="A199" s="228"/>
      <c r="B199" s="228" t="s">
        <v>1053</v>
      </c>
      <c r="C199" s="248" t="s">
        <v>1061</v>
      </c>
    </row>
    <row r="200" spans="1:3" x14ac:dyDescent="0.25">
      <c r="A200" s="228"/>
      <c r="B200" s="228" t="s">
        <v>1058</v>
      </c>
      <c r="C200" s="248" t="s">
        <v>204</v>
      </c>
    </row>
    <row r="201" spans="1:3" x14ac:dyDescent="0.25">
      <c r="A201" s="228"/>
      <c r="B201" s="228" t="s">
        <v>1064</v>
      </c>
      <c r="C201" s="248" t="s">
        <v>204</v>
      </c>
    </row>
    <row r="202" spans="1:3" ht="15.75" thickBot="1" x14ac:dyDescent="0.3">
      <c r="A202" s="233"/>
      <c r="B202" s="233" t="s">
        <v>1070</v>
      </c>
      <c r="C202" s="253" t="s">
        <v>216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Z57"/>
  <sheetViews>
    <sheetView topLeftCell="A31" zoomScaleNormal="100" workbookViewId="0">
      <selection sqref="A1:XFD1"/>
    </sheetView>
  </sheetViews>
  <sheetFormatPr defaultRowHeight="15" x14ac:dyDescent="0.25"/>
  <sheetData>
    <row r="1" spans="1:23" x14ac:dyDescent="0.25">
      <c r="A1" s="256"/>
      <c r="B1" s="669"/>
      <c r="C1" s="670"/>
      <c r="D1" s="289"/>
      <c r="E1" s="671"/>
      <c r="F1" s="672"/>
      <c r="G1" s="672"/>
      <c r="H1" s="671"/>
      <c r="I1" s="672"/>
      <c r="J1" s="671"/>
      <c r="K1" s="671"/>
      <c r="L1" s="672"/>
      <c r="M1" s="257"/>
      <c r="N1" s="258" t="e">
        <f ca="1">OFFSET($N1,-1,0,1,1)+1</f>
        <v>#REF!</v>
      </c>
      <c r="O1" s="259"/>
      <c r="P1" s="259"/>
      <c r="Q1" s="259"/>
      <c r="R1" s="259"/>
      <c r="S1" s="259"/>
      <c r="T1" s="259"/>
      <c r="U1" s="259"/>
      <c r="V1" s="260"/>
      <c r="W1" s="261"/>
    </row>
    <row r="2" spans="1:23" x14ac:dyDescent="0.25">
      <c r="B2" s="267"/>
      <c r="C2" s="665">
        <f ca="1">OFFSET($C2,-1,0,1,1)+1</f>
        <v>1</v>
      </c>
      <c r="D2" s="286"/>
      <c r="E2" s="282"/>
      <c r="F2" s="282">
        <v>1</v>
      </c>
      <c r="G2" s="666" t="s">
        <v>304</v>
      </c>
      <c r="H2" s="282" t="s">
        <v>314</v>
      </c>
      <c r="I2" s="667"/>
      <c r="J2" s="653"/>
      <c r="K2" s="668"/>
      <c r="L2" s="653"/>
      <c r="M2" s="265"/>
      <c r="N2" s="265"/>
      <c r="O2" s="265"/>
      <c r="P2" s="265"/>
      <c r="Q2" s="265"/>
      <c r="R2" s="265"/>
      <c r="S2" s="266"/>
    </row>
    <row r="3" spans="1:23" x14ac:dyDescent="0.25">
      <c r="B3" s="267"/>
      <c r="C3" s="268"/>
      <c r="D3" s="269"/>
      <c r="E3" s="140"/>
      <c r="F3" s="270">
        <f ca="1">OFFSET($F3,-1,0,1,1)+1</f>
        <v>2</v>
      </c>
      <c r="G3" s="271"/>
      <c r="H3" s="141" t="s">
        <v>314</v>
      </c>
      <c r="I3" s="272"/>
      <c r="J3" s="139" t="str">
        <f>IFERROR(VLOOKUP($H$5,Source!$L$42:$V$86,11,0),"- - -")</f>
        <v>- - -</v>
      </c>
      <c r="K3" s="273"/>
      <c r="L3" s="274"/>
      <c r="M3" s="273"/>
      <c r="N3" s="265"/>
      <c r="O3" s="275"/>
      <c r="P3" s="275"/>
      <c r="Q3" s="265"/>
      <c r="R3" s="265"/>
      <c r="S3" s="266"/>
    </row>
    <row r="4" spans="1:23" x14ac:dyDescent="0.25">
      <c r="D4" s="276"/>
      <c r="E4" s="277">
        <f ca="1">OFFSET($E4,-1,0,1,1)+1</f>
        <v>1</v>
      </c>
      <c r="F4" s="278" t="s">
        <v>1151</v>
      </c>
      <c r="G4" s="279"/>
      <c r="H4" s="140"/>
      <c r="I4" s="39"/>
      <c r="J4" s="39"/>
      <c r="K4" s="265"/>
      <c r="L4" s="39"/>
      <c r="M4" s="265"/>
      <c r="N4" s="280"/>
      <c r="O4" s="39"/>
      <c r="P4" s="265"/>
      <c r="Q4" s="39"/>
      <c r="R4" s="265"/>
      <c r="S4" s="266"/>
    </row>
    <row r="5" spans="1:23" x14ac:dyDescent="0.25">
      <c r="E5" s="277">
        <v>1</v>
      </c>
      <c r="F5" s="281"/>
      <c r="G5" s="279" t="s">
        <v>1152</v>
      </c>
      <c r="H5" s="140"/>
      <c r="I5" s="39"/>
      <c r="J5" s="39"/>
      <c r="K5" s="265"/>
      <c r="L5" s="39"/>
      <c r="M5" s="265"/>
      <c r="N5" s="280"/>
      <c r="O5" s="39"/>
      <c r="P5" s="265"/>
      <c r="Q5" s="39"/>
      <c r="R5" s="265"/>
      <c r="S5" s="266"/>
    </row>
    <row r="6" spans="1:23" x14ac:dyDescent="0.25">
      <c r="A6" s="276"/>
      <c r="B6" s="286"/>
      <c r="C6" s="283"/>
      <c r="D6" s="140">
        <f ca="1">OFFSET($D6,-1,0,1,1)+1</f>
        <v>1</v>
      </c>
      <c r="E6" s="812"/>
      <c r="F6" s="812"/>
      <c r="G6" s="627"/>
      <c r="H6" s="618"/>
      <c r="I6" s="628" t="str">
        <f>IFERROR($H6/$J$2,"- - -")</f>
        <v>- - -</v>
      </c>
      <c r="J6" s="266"/>
      <c r="L6" s="284"/>
      <c r="N6" s="285"/>
    </row>
    <row r="7" spans="1:23" x14ac:dyDescent="0.25">
      <c r="A7" s="276"/>
      <c r="B7" s="286"/>
      <c r="C7" s="283"/>
      <c r="D7" s="140">
        <f ca="1">OFFSET($D7,-1,0,1,1)+1</f>
        <v>2</v>
      </c>
      <c r="E7" s="813"/>
      <c r="F7" s="813"/>
      <c r="G7" s="627"/>
      <c r="H7" s="618"/>
      <c r="I7" s="628" t="str">
        <f t="shared" ref="I7:I9" si="0">IFERROR($H7/$J$2,"- - -")</f>
        <v>- - -</v>
      </c>
      <c r="J7" s="266"/>
      <c r="L7" s="284"/>
      <c r="N7" s="285"/>
    </row>
    <row r="8" spans="1:23" x14ac:dyDescent="0.25">
      <c r="A8" s="276"/>
      <c r="B8" s="286"/>
      <c r="C8" s="283"/>
      <c r="D8" s="140">
        <f ca="1">OFFSET($D8,-1,0,1,1)+1</f>
        <v>3</v>
      </c>
      <c r="E8" s="813"/>
      <c r="F8" s="813"/>
      <c r="G8" s="627"/>
      <c r="H8" s="618"/>
      <c r="I8" s="628" t="str">
        <f t="shared" si="0"/>
        <v>- - -</v>
      </c>
      <c r="J8" s="266"/>
      <c r="L8" s="284"/>
      <c r="N8" s="285"/>
    </row>
    <row r="9" spans="1:23" x14ac:dyDescent="0.25">
      <c r="A9" s="276"/>
      <c r="B9" s="286"/>
      <c r="C9" s="140"/>
      <c r="D9" s="140">
        <f ca="1">OFFSET($D9,-1,0,1,1)+1</f>
        <v>4</v>
      </c>
      <c r="E9" s="625"/>
      <c r="F9" s="625"/>
      <c r="G9" s="627"/>
      <c r="H9" s="618"/>
      <c r="I9" s="628" t="str">
        <f t="shared" si="0"/>
        <v>- - -</v>
      </c>
      <c r="J9" s="266"/>
      <c r="L9" s="284"/>
      <c r="N9" s="285"/>
    </row>
    <row r="10" spans="1:23" x14ac:dyDescent="0.25">
      <c r="A10" s="288"/>
      <c r="B10" s="289"/>
      <c r="C10" s="290">
        <f ca="1">OFFSET($C10,-1,0,1,1)+1</f>
        <v>1</v>
      </c>
      <c r="D10" s="291"/>
      <c r="E10" s="290" t="str">
        <f>IFERROR(VLOOKUP($G$3,Source!$L$42:$V$86,11,0),"- - -")</f>
        <v>- - -</v>
      </c>
      <c r="F10" s="292"/>
      <c r="G10" s="292"/>
      <c r="H10" s="293" t="s">
        <v>98</v>
      </c>
      <c r="I10" s="292"/>
      <c r="J10" s="292"/>
      <c r="K10" s="294"/>
    </row>
    <row r="11" spans="1:23" x14ac:dyDescent="0.25">
      <c r="B11" s="262"/>
      <c r="C11" s="263">
        <f ca="1">OFFSET($C11,-1,0,1,1)+1</f>
        <v>2</v>
      </c>
      <c r="D11" s="295"/>
      <c r="E11" s="141"/>
      <c r="F11" s="296">
        <f ca="1">OFFSET($F11,-1,0,1,1)+1</f>
        <v>1</v>
      </c>
      <c r="G11" s="271"/>
      <c r="H11" s="141" t="s">
        <v>314</v>
      </c>
      <c r="I11" s="272"/>
      <c r="J11" s="139" t="e">
        <f>VLOOKUP($H$5,Source!$L$42:$V$86,11,0)</f>
        <v>#N/A</v>
      </c>
      <c r="K11" s="273"/>
      <c r="L11" s="274"/>
      <c r="M11" s="265"/>
      <c r="N11" s="265"/>
      <c r="O11" s="275"/>
      <c r="P11" s="275"/>
      <c r="Q11" s="265"/>
      <c r="R11" s="265"/>
      <c r="S11" s="266"/>
    </row>
    <row r="12" spans="1:23" x14ac:dyDescent="0.25">
      <c r="A12" s="551"/>
      <c r="B12" s="297">
        <f ca="1">OFFSET($B12,-1,0,1,1)+1</f>
        <v>1</v>
      </c>
      <c r="C12" s="361"/>
      <c r="D12" s="361"/>
      <c r="E12" s="361"/>
      <c r="F12" s="361"/>
      <c r="G12" s="260"/>
      <c r="H12" s="260"/>
      <c r="I12" s="361"/>
      <c r="J12" s="260"/>
      <c r="K12" s="260"/>
      <c r="L12" s="298"/>
      <c r="M12" s="553"/>
    </row>
    <row r="13" spans="1:23" x14ac:dyDescent="0.25">
      <c r="A13" s="550" t="s">
        <v>1153</v>
      </c>
      <c r="B13" s="300">
        <f ca="1">OFFSET($B13,-1,0,1,1)+1</f>
        <v>2</v>
      </c>
      <c r="C13" s="301"/>
      <c r="D13" s="302"/>
      <c r="E13" s="303" t="e">
        <f>VLOOKUP($F$5,Source!$L$42:$V$86,11,0)</f>
        <v>#N/A</v>
      </c>
      <c r="F13" s="304"/>
      <c r="G13" s="305"/>
      <c r="H13" s="306"/>
    </row>
    <row r="14" spans="1:23" x14ac:dyDescent="0.25">
      <c r="A14" s="299" t="s">
        <v>1154</v>
      </c>
      <c r="B14" s="300">
        <f ca="1">OFFSET($B14,-1,0,1,1)+1</f>
        <v>3</v>
      </c>
      <c r="C14" s="301"/>
      <c r="D14" s="302"/>
      <c r="E14" s="303"/>
      <c r="F14" s="304"/>
      <c r="G14" s="305"/>
      <c r="H14" s="306"/>
    </row>
    <row r="15" spans="1:23" x14ac:dyDescent="0.25">
      <c r="A15" s="307"/>
      <c r="B15" s="300">
        <f ca="1">OFFSET($B15,-1,0,1,1)+1</f>
        <v>4</v>
      </c>
      <c r="C15" s="301"/>
      <c r="D15" s="302"/>
      <c r="E15" s="303"/>
      <c r="F15" s="304"/>
      <c r="G15" s="305"/>
      <c r="H15" s="306"/>
    </row>
    <row r="16" spans="1:23" ht="33" customHeight="1" x14ac:dyDescent="0.25">
      <c r="A16" s="288"/>
      <c r="B16" s="308"/>
      <c r="C16" s="290">
        <f ca="1">OFFSET($C16,-1,0,1,1)+1</f>
        <v>1</v>
      </c>
      <c r="D16" s="309"/>
      <c r="E16" s="290" t="e">
        <f>VLOOKUP($G$3,Source!$L$42:$V$86,11,0)</f>
        <v>#N/A</v>
      </c>
      <c r="F16" s="292"/>
      <c r="G16" s="292"/>
      <c r="H16" s="310"/>
      <c r="I16" s="310">
        <v>1</v>
      </c>
      <c r="J16" s="302"/>
      <c r="K16" s="310"/>
      <c r="L16" s="260"/>
      <c r="M16" s="260"/>
      <c r="N16" s="310"/>
      <c r="O16" s="260"/>
      <c r="P16" s="260"/>
      <c r="Q16" s="293"/>
      <c r="R16" s="292"/>
      <c r="S16" s="292"/>
      <c r="T16" s="310"/>
      <c r="U16" s="260"/>
      <c r="V16" s="260"/>
      <c r="W16" s="294"/>
    </row>
    <row r="17" spans="1:52" ht="33" customHeight="1" x14ac:dyDescent="0.25">
      <c r="A17" s="288"/>
      <c r="B17" s="289"/>
      <c r="C17" s="311"/>
      <c r="D17" s="312"/>
      <c r="E17" s="313"/>
      <c r="F17" s="313"/>
      <c r="G17" s="313"/>
      <c r="H17" s="310"/>
      <c r="I17" s="310">
        <f ca="1">OFFSET($I17,-1,0,1,1)+1</f>
        <v>2</v>
      </c>
      <c r="J17" s="302"/>
      <c r="K17" s="310"/>
      <c r="L17" s="260"/>
      <c r="M17" s="260"/>
      <c r="N17" s="310"/>
      <c r="O17" s="260"/>
      <c r="P17" s="260"/>
      <c r="Q17" s="310"/>
      <c r="R17" s="260"/>
      <c r="S17" s="260"/>
      <c r="T17" s="310"/>
      <c r="U17" s="260"/>
      <c r="V17" s="260"/>
      <c r="W17" s="294"/>
    </row>
    <row r="18" spans="1:52" ht="33" customHeight="1" x14ac:dyDescent="0.25">
      <c r="A18" s="267"/>
      <c r="B18" s="314"/>
      <c r="C18" s="315"/>
      <c r="D18" s="316"/>
      <c r="E18" s="313"/>
      <c r="F18" s="313"/>
      <c r="G18" s="313"/>
      <c r="H18" s="310"/>
      <c r="I18" s="310">
        <f ca="1">OFFSET($I18,-1,0,1,1)+1</f>
        <v>3</v>
      </c>
      <c r="J18" s="302"/>
      <c r="K18" s="310"/>
      <c r="L18" s="260"/>
      <c r="M18" s="260"/>
      <c r="N18" s="310"/>
      <c r="O18" s="260"/>
      <c r="P18" s="260"/>
      <c r="Q18" s="310"/>
      <c r="R18" s="260"/>
      <c r="S18" s="260"/>
      <c r="T18" s="310"/>
      <c r="U18" s="260"/>
      <c r="V18" s="260"/>
      <c r="W18" s="294"/>
    </row>
    <row r="19" spans="1:52" x14ac:dyDescent="0.25">
      <c r="A19" s="285"/>
      <c r="B19" s="288"/>
      <c r="C19" s="317"/>
      <c r="D19" s="318">
        <f ca="1">OFFSET($D19,-1,0,1,1)+1</f>
        <v>1</v>
      </c>
      <c r="E19" s="319"/>
      <c r="F19" s="320"/>
      <c r="G19" s="320">
        <v>1</v>
      </c>
      <c r="H19" s="321"/>
      <c r="I19" s="322"/>
      <c r="J19" s="322">
        <v>1</v>
      </c>
      <c r="K19" s="323"/>
      <c r="L19" s="324"/>
      <c r="M19" s="325">
        <v>1</v>
      </c>
      <c r="N19" s="326"/>
      <c r="O19" s="327"/>
      <c r="P19" s="328"/>
      <c r="Q19" s="305"/>
      <c r="R19" s="329"/>
      <c r="S19" s="330"/>
      <c r="T19" s="331"/>
      <c r="U19" s="332"/>
      <c r="V19" s="306"/>
    </row>
    <row r="20" spans="1:52" x14ac:dyDescent="0.25">
      <c r="A20" s="285"/>
      <c r="B20" s="288"/>
      <c r="C20" s="137"/>
      <c r="D20" s="333"/>
      <c r="E20" s="334"/>
      <c r="F20" s="320"/>
      <c r="G20" s="320">
        <f ca="1">OFFSET($G20,-1,0,1,1)+1</f>
        <v>2</v>
      </c>
      <c r="H20" s="321"/>
      <c r="I20" s="335"/>
      <c r="J20" s="335">
        <v>1</v>
      </c>
      <c r="K20" s="336"/>
      <c r="L20" s="324"/>
      <c r="M20" s="325">
        <v>1</v>
      </c>
      <c r="N20" s="326"/>
      <c r="O20" s="327"/>
      <c r="P20" s="327"/>
      <c r="Q20" s="305"/>
      <c r="R20" s="329"/>
      <c r="S20" s="330"/>
      <c r="T20" s="331"/>
      <c r="U20" s="332"/>
      <c r="V20" s="306"/>
    </row>
    <row r="21" spans="1:52" x14ac:dyDescent="0.25">
      <c r="A21" s="285"/>
      <c r="B21" s="288"/>
      <c r="C21" s="137"/>
      <c r="D21" s="333"/>
      <c r="E21" s="334"/>
      <c r="F21" s="334"/>
      <c r="G21" s="337"/>
      <c r="H21" s="338"/>
      <c r="I21" s="335"/>
      <c r="J21" s="335">
        <f ca="1">OFFSET($J21,-1,0,1,1)+1</f>
        <v>2</v>
      </c>
      <c r="K21" s="336"/>
      <c r="L21" s="324"/>
      <c r="M21" s="325">
        <v>1</v>
      </c>
      <c r="N21" s="326"/>
      <c r="O21" s="339"/>
      <c r="P21" s="340"/>
      <c r="Q21" s="305"/>
      <c r="R21" s="329"/>
      <c r="S21" s="330"/>
      <c r="T21" s="331"/>
      <c r="U21" s="332"/>
      <c r="V21" s="306"/>
    </row>
    <row r="22" spans="1:52" x14ac:dyDescent="0.25">
      <c r="A22" s="285"/>
      <c r="B22" s="288"/>
      <c r="C22" s="137"/>
      <c r="D22" s="333"/>
      <c r="E22" s="334"/>
      <c r="F22" s="334"/>
      <c r="G22" s="337"/>
      <c r="H22" s="338"/>
      <c r="I22" s="340"/>
      <c r="J22" s="341"/>
      <c r="K22" s="342"/>
      <c r="L22" s="324"/>
      <c r="M22" s="325">
        <f ca="1">OFFSET($M22,-1,0,1,1)+1</f>
        <v>2</v>
      </c>
      <c r="N22" s="326"/>
      <c r="O22" s="343"/>
      <c r="P22" s="344"/>
      <c r="Q22" s="305"/>
      <c r="R22" s="329"/>
      <c r="S22" s="330"/>
      <c r="T22" s="331"/>
      <c r="U22" s="332"/>
      <c r="V22" s="306"/>
    </row>
    <row r="24" spans="1:52" x14ac:dyDescent="0.25">
      <c r="A24" s="345"/>
      <c r="B24" s="135">
        <f ca="1">OFFSET($B24,-1,0,1,1)+1</f>
        <v>1</v>
      </c>
      <c r="C24" s="319"/>
      <c r="D24" s="346"/>
      <c r="E24" s="318">
        <v>1</v>
      </c>
      <c r="F24" s="347"/>
      <c r="G24" s="348"/>
      <c r="H24" s="349">
        <v>1</v>
      </c>
      <c r="I24" s="350"/>
      <c r="J24" s="348"/>
      <c r="K24" s="349">
        <v>1</v>
      </c>
      <c r="L24" s="351"/>
      <c r="M24" s="304"/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04"/>
      <c r="AA24" s="304"/>
      <c r="AB24" s="304"/>
      <c r="AC24" s="304"/>
      <c r="AD24" s="304"/>
      <c r="AE24" s="304"/>
      <c r="AF24" s="304"/>
      <c r="AG24" s="304"/>
      <c r="AH24" s="304"/>
      <c r="AI24" s="304"/>
      <c r="AJ24" s="304"/>
      <c r="AK24" s="304"/>
      <c r="AL24" s="304"/>
      <c r="AM24" s="304"/>
      <c r="AN24" s="304"/>
      <c r="AO24" s="304"/>
      <c r="AP24" s="304"/>
      <c r="AQ24" s="304"/>
      <c r="AR24" s="304"/>
      <c r="AS24" s="304"/>
      <c r="AT24" s="304"/>
      <c r="AU24" s="304"/>
      <c r="AV24" s="304"/>
      <c r="AW24" s="304"/>
      <c r="AX24" s="304"/>
      <c r="AY24" s="304"/>
      <c r="AZ24" s="304"/>
    </row>
    <row r="25" spans="1:52" x14ac:dyDescent="0.25">
      <c r="A25" s="345"/>
      <c r="B25" s="352"/>
      <c r="C25" s="334"/>
      <c r="D25" s="346"/>
      <c r="E25" s="318">
        <f ca="1">OFFSET($E25,-1,0,1,1)+1</f>
        <v>2</v>
      </c>
      <c r="F25" s="347"/>
      <c r="G25" s="346"/>
      <c r="H25" s="318">
        <v>1</v>
      </c>
      <c r="I25" s="347"/>
      <c r="J25" s="348"/>
      <c r="K25" s="349">
        <v>1</v>
      </c>
      <c r="L25" s="351"/>
      <c r="M25" s="327"/>
      <c r="N25" s="304"/>
      <c r="O25" s="304"/>
      <c r="P25" s="304"/>
      <c r="Q25" s="327"/>
      <c r="R25" s="304"/>
      <c r="S25" s="304"/>
      <c r="T25" s="304"/>
      <c r="U25" s="327"/>
      <c r="V25" s="304"/>
      <c r="W25" s="304"/>
      <c r="X25" s="304"/>
      <c r="Y25" s="327"/>
      <c r="Z25" s="304"/>
      <c r="AA25" s="304"/>
      <c r="AB25" s="304"/>
      <c r="AC25" s="327"/>
      <c r="AD25" s="304"/>
      <c r="AE25" s="304"/>
      <c r="AF25" s="304"/>
      <c r="AG25" s="327"/>
      <c r="AH25" s="304"/>
      <c r="AI25" s="304"/>
      <c r="AJ25" s="304"/>
      <c r="AK25" s="327"/>
      <c r="AL25" s="304"/>
      <c r="AM25" s="304"/>
      <c r="AN25" s="304"/>
      <c r="AO25" s="327"/>
      <c r="AP25" s="304"/>
      <c r="AQ25" s="304"/>
      <c r="AR25" s="304"/>
      <c r="AS25" s="327"/>
      <c r="AT25" s="304"/>
      <c r="AU25" s="304"/>
      <c r="AV25" s="304"/>
      <c r="AW25" s="327"/>
      <c r="AX25" s="304"/>
      <c r="AY25" s="304"/>
      <c r="AZ25" s="304"/>
    </row>
    <row r="26" spans="1:52" x14ac:dyDescent="0.25">
      <c r="A26" s="345"/>
      <c r="B26" s="352"/>
      <c r="C26" s="334"/>
      <c r="D26" s="353"/>
      <c r="E26" s="333"/>
      <c r="F26" s="340"/>
      <c r="G26" s="346"/>
      <c r="H26" s="318">
        <f ca="1">OFFSET($H26,-1,0,1,1)+1</f>
        <v>2</v>
      </c>
      <c r="I26" s="347"/>
      <c r="J26" s="348"/>
      <c r="K26" s="349">
        <v>1</v>
      </c>
      <c r="L26" s="351"/>
      <c r="M26" s="354"/>
      <c r="N26" s="304"/>
      <c r="O26" s="304"/>
      <c r="P26" s="304"/>
      <c r="Q26" s="354"/>
      <c r="R26" s="304"/>
      <c r="S26" s="304"/>
      <c r="T26" s="304"/>
      <c r="U26" s="354"/>
      <c r="V26" s="304"/>
      <c r="W26" s="304"/>
      <c r="X26" s="304"/>
      <c r="Y26" s="354"/>
      <c r="Z26" s="304"/>
      <c r="AA26" s="304"/>
      <c r="AB26" s="304"/>
      <c r="AC26" s="354"/>
      <c r="AD26" s="304"/>
      <c r="AE26" s="304"/>
      <c r="AF26" s="304"/>
      <c r="AG26" s="354"/>
      <c r="AH26" s="304"/>
      <c r="AI26" s="304"/>
      <c r="AJ26" s="304"/>
      <c r="AK26" s="354"/>
      <c r="AL26" s="304"/>
      <c r="AM26" s="304"/>
      <c r="AN26" s="304"/>
      <c r="AO26" s="354"/>
      <c r="AP26" s="304"/>
      <c r="AQ26" s="304"/>
      <c r="AR26" s="304"/>
      <c r="AS26" s="354"/>
      <c r="AT26" s="304"/>
      <c r="AU26" s="304"/>
      <c r="AV26" s="304"/>
      <c r="AW26" s="354"/>
      <c r="AX26" s="304"/>
      <c r="AY26" s="304"/>
      <c r="AZ26" s="304"/>
    </row>
    <row r="27" spans="1:52" x14ac:dyDescent="0.25">
      <c r="A27" s="345"/>
      <c r="B27" s="352"/>
      <c r="C27" s="334"/>
      <c r="D27" s="353"/>
      <c r="E27" s="333"/>
      <c r="F27" s="340"/>
      <c r="G27" s="353"/>
      <c r="H27" s="333"/>
      <c r="I27" s="340"/>
      <c r="J27" s="348"/>
      <c r="K27" s="349">
        <f ca="1">OFFSET($K27,-1,0,1,1)+1</f>
        <v>2</v>
      </c>
      <c r="L27" s="351"/>
      <c r="M27" s="354"/>
      <c r="N27" s="304"/>
      <c r="O27" s="304"/>
      <c r="P27" s="304"/>
      <c r="Q27" s="354"/>
      <c r="R27" s="304"/>
      <c r="S27" s="304"/>
      <c r="T27" s="304"/>
      <c r="U27" s="354"/>
      <c r="V27" s="304"/>
      <c r="W27" s="304"/>
      <c r="X27" s="304"/>
      <c r="Y27" s="354"/>
      <c r="Z27" s="304"/>
      <c r="AA27" s="304"/>
      <c r="AB27" s="304"/>
      <c r="AC27" s="354"/>
      <c r="AD27" s="304"/>
      <c r="AE27" s="304"/>
      <c r="AF27" s="304"/>
      <c r="AG27" s="354"/>
      <c r="AH27" s="304"/>
      <c r="AI27" s="304"/>
      <c r="AJ27" s="304"/>
      <c r="AK27" s="354"/>
      <c r="AL27" s="304"/>
      <c r="AM27" s="304"/>
      <c r="AN27" s="304"/>
      <c r="AO27" s="354"/>
      <c r="AP27" s="304"/>
      <c r="AQ27" s="304"/>
      <c r="AR27" s="304"/>
      <c r="AS27" s="354"/>
      <c r="AT27" s="304"/>
      <c r="AU27" s="304"/>
      <c r="AV27" s="304"/>
      <c r="AW27" s="354"/>
      <c r="AX27" s="304"/>
      <c r="AY27" s="304"/>
      <c r="AZ27" s="304"/>
    </row>
    <row r="29" spans="1:52" x14ac:dyDescent="0.25">
      <c r="A29" s="355"/>
      <c r="B29" s="356"/>
      <c r="C29" s="357"/>
      <c r="D29" s="357"/>
      <c r="E29" s="357"/>
      <c r="F29" s="357"/>
      <c r="G29" s="357"/>
      <c r="H29" s="357"/>
      <c r="I29" s="357"/>
      <c r="J29" s="357"/>
      <c r="K29" s="358"/>
      <c r="L29" s="359"/>
      <c r="M29" s="303">
        <f ca="1">OFFSET($M29,-1,0,1,1)+1</f>
        <v>1</v>
      </c>
      <c r="N29" s="360"/>
      <c r="O29" s="304"/>
      <c r="P29" s="304"/>
      <c r="Q29" s="304"/>
      <c r="R29" s="304"/>
      <c r="S29" s="304"/>
      <c r="T29" s="304"/>
      <c r="U29" s="304"/>
      <c r="V29" s="306"/>
    </row>
    <row r="31" spans="1:52" x14ac:dyDescent="0.25">
      <c r="B31" s="297">
        <f ca="1">OFFSET($B31,-1,0,1,1)+1</f>
        <v>1</v>
      </c>
      <c r="C31" s="361"/>
      <c r="D31" s="632"/>
      <c r="E31" s="260"/>
      <c r="F31" s="260"/>
      <c r="G31" s="260"/>
      <c r="H31" s="260"/>
      <c r="I31" s="260"/>
      <c r="J31" s="260"/>
      <c r="K31" s="814"/>
      <c r="L31" s="815"/>
      <c r="M31" s="260"/>
      <c r="N31" s="363"/>
      <c r="O31" s="363"/>
      <c r="P31" s="364"/>
      <c r="Q31" s="364"/>
    </row>
    <row r="32" spans="1:52" x14ac:dyDescent="0.25">
      <c r="B32" s="297">
        <f ca="1">OFFSET($B32,-1,0,1,1)+1</f>
        <v>2</v>
      </c>
      <c r="C32" s="362"/>
      <c r="D32" s="365" t="str">
        <f>IFERROR(VLOOKUP($C32,Source!$L$1:$M$15,2,FALSE),"- - -")</f>
        <v>- - -</v>
      </c>
      <c r="E32" s="260"/>
      <c r="F32" s="260"/>
      <c r="G32" s="260"/>
      <c r="H32" s="260"/>
      <c r="J32" s="366"/>
      <c r="K32" s="366"/>
      <c r="L32" s="366"/>
    </row>
    <row r="33" spans="1:27" x14ac:dyDescent="0.25">
      <c r="B33" s="297">
        <f ca="1">OFFSET($B33,-1,0,1,1)+1</f>
        <v>3</v>
      </c>
      <c r="C33" s="362"/>
      <c r="D33" s="722"/>
      <c r="E33" s="722"/>
      <c r="F33" s="362"/>
    </row>
    <row r="35" spans="1:27" x14ac:dyDescent="0.25">
      <c r="B35" s="267"/>
      <c r="C35" s="268"/>
      <c r="D35" s="269"/>
      <c r="E35" s="140"/>
      <c r="F35" s="270">
        <f ca="1">OFFSET($F35,-1,0,1,1)+1</f>
        <v>1</v>
      </c>
      <c r="G35" s="271"/>
      <c r="H35" s="295"/>
      <c r="I35" s="272"/>
      <c r="J35" s="139" t="e">
        <f>VLOOKUP($H$5,Source!$L$42:$V$86,11,0)</f>
        <v>#N/A</v>
      </c>
      <c r="K35" s="273"/>
      <c r="L35" s="274"/>
      <c r="M35" s="273"/>
      <c r="N35" s="265"/>
      <c r="O35" s="275"/>
      <c r="P35" s="275"/>
      <c r="Q35" s="265"/>
      <c r="R35" s="265"/>
      <c r="S35" s="266"/>
    </row>
    <row r="36" spans="1:27" x14ac:dyDescent="0.25">
      <c r="B36" s="262"/>
      <c r="C36" s="263">
        <f ca="1">OFFSET($C36,-1,0,1,1)+1</f>
        <v>1</v>
      </c>
      <c r="D36" s="295"/>
      <c r="E36" s="140"/>
      <c r="F36" s="270">
        <v>1</v>
      </c>
      <c r="G36" s="271"/>
      <c r="H36" s="295"/>
      <c r="I36" s="272"/>
      <c r="J36" s="139" t="e">
        <f>VLOOKUP($H$5,Source!$L$42:$V$86,11,0)</f>
        <v>#N/A</v>
      </c>
      <c r="K36" s="273"/>
      <c r="L36" s="274"/>
      <c r="M36" s="273"/>
      <c r="N36" s="265"/>
      <c r="O36" s="275"/>
      <c r="P36" s="275"/>
      <c r="Q36" s="265"/>
      <c r="R36" s="265"/>
      <c r="S36" s="266"/>
    </row>
    <row r="38" spans="1:27" x14ac:dyDescent="0.25">
      <c r="A38" s="367"/>
      <c r="B38" s="367"/>
      <c r="C38" s="367"/>
      <c r="D38" s="276"/>
      <c r="E38" s="277">
        <f ca="1">OFFSET($E38,-1,0,1,1)+1</f>
        <v>1</v>
      </c>
      <c r="F38" s="278" t="s">
        <v>1151</v>
      </c>
      <c r="G38" s="279"/>
      <c r="H38" s="140"/>
      <c r="I38" s="39"/>
      <c r="J38" s="39"/>
      <c r="K38" s="265"/>
      <c r="L38" s="39"/>
      <c r="M38" s="265"/>
      <c r="N38" s="280"/>
      <c r="O38" s="39"/>
      <c r="P38" s="265"/>
      <c r="Q38" s="39"/>
      <c r="R38" s="265"/>
      <c r="S38" s="266"/>
    </row>
    <row r="39" spans="1:27" x14ac:dyDescent="0.25">
      <c r="A39" s="367"/>
      <c r="B39" s="367"/>
      <c r="C39" s="367"/>
      <c r="D39" s="276"/>
      <c r="E39" s="368">
        <f ca="1">OFFSET($E39,-1,0,1,1)+1</f>
        <v>2</v>
      </c>
      <c r="F39" s="369" t="s">
        <v>1151</v>
      </c>
      <c r="G39" s="271"/>
      <c r="H39" s="141" t="s">
        <v>314</v>
      </c>
      <c r="I39" s="264"/>
      <c r="J39" s="139" t="e">
        <f>VLOOKUP($H$5,Source!$L$42:$V$86,11,0)</f>
        <v>#N/A</v>
      </c>
      <c r="K39" s="265"/>
      <c r="L39" s="370"/>
      <c r="M39" s="265"/>
      <c r="N39" s="280"/>
      <c r="O39" s="39"/>
      <c r="P39" s="275"/>
      <c r="Q39" s="39"/>
      <c r="R39" s="265"/>
      <c r="S39" s="266"/>
    </row>
    <row r="41" spans="1:27" x14ac:dyDescent="0.25">
      <c r="B41" s="371">
        <f ca="1">OFFSET($B41,-1,0,1,1)+1</f>
        <v>1</v>
      </c>
      <c r="C41" s="708"/>
      <c r="D41" s="708"/>
      <c r="E41" s="350"/>
      <c r="F41" s="351"/>
      <c r="G41" s="375"/>
      <c r="H41" s="304"/>
      <c r="I41" s="304"/>
      <c r="J41" s="351"/>
      <c r="K41" s="351"/>
      <c r="L41" s="351"/>
      <c r="M41" s="156" t="s">
        <v>1155</v>
      </c>
      <c r="N41" s="260"/>
      <c r="O41" s="303">
        <f>$I41*$N41</f>
        <v>0</v>
      </c>
      <c r="P41" s="372"/>
      <c r="Q41" s="373" t="e">
        <f>VLOOKUP($C41,Source!$AY$1:$AZ$15,2,0)</f>
        <v>#N/A</v>
      </c>
      <c r="AA41" s="120"/>
    </row>
    <row r="42" spans="1:27" x14ac:dyDescent="0.25">
      <c r="B42" s="371">
        <f ca="1">OFFSET($B42,-1,0,1,1)+1</f>
        <v>2</v>
      </c>
      <c r="C42" s="298"/>
      <c r="D42" s="375"/>
      <c r="E42" s="375"/>
      <c r="F42" s="374"/>
      <c r="G42" s="361"/>
      <c r="H42" s="260"/>
      <c r="I42" s="376"/>
      <c r="J42" s="376"/>
      <c r="K42" s="260"/>
      <c r="L42" s="260"/>
      <c r="M42" s="376"/>
      <c r="N42" s="260"/>
      <c r="O42" s="260"/>
      <c r="P42" s="377">
        <f>$N42*$O42</f>
        <v>0</v>
      </c>
      <c r="Q42" s="376"/>
      <c r="R42" s="378"/>
    </row>
    <row r="43" spans="1:27" x14ac:dyDescent="0.25">
      <c r="B43" s="371">
        <f ca="1">OFFSET($B43,-1,0,1,1)+1</f>
        <v>3</v>
      </c>
      <c r="C43" s="361"/>
      <c r="D43" s="374"/>
      <c r="E43" s="375"/>
      <c r="F43" s="376"/>
      <c r="G43" s="161" t="str">
        <f>IFERROR(VLOOKUP(D43,Source!$V$1:$W$7,2,0),"- - -")</f>
        <v>- - -</v>
      </c>
      <c r="H43" s="260"/>
      <c r="I43" s="376"/>
      <c r="J43" s="376"/>
      <c r="K43" s="260"/>
      <c r="L43" s="260"/>
      <c r="M43" s="376"/>
      <c r="N43" s="260"/>
      <c r="O43" s="260"/>
      <c r="P43" s="377">
        <f>$N43*$O43</f>
        <v>0</v>
      </c>
      <c r="Q43" s="376"/>
      <c r="R43" s="379"/>
    </row>
    <row r="45" spans="1:27" x14ac:dyDescent="0.25">
      <c r="B45" s="267"/>
      <c r="C45" s="268"/>
      <c r="D45" s="269"/>
      <c r="E45" s="140"/>
      <c r="F45" s="270">
        <f ca="1">OFFSET($F45,-1,0,1,1)+1</f>
        <v>1</v>
      </c>
      <c r="G45" s="287"/>
      <c r="H45" s="140" t="s">
        <v>314</v>
      </c>
      <c r="I45" s="264"/>
      <c r="J45" s="39"/>
      <c r="K45" s="265"/>
      <c r="L45" s="39"/>
      <c r="M45" s="265"/>
      <c r="N45" s="265"/>
      <c r="O45" s="275"/>
      <c r="P45" s="275"/>
      <c r="Q45" s="265"/>
      <c r="R45" s="265"/>
      <c r="S45" s="266"/>
    </row>
    <row r="46" spans="1:27" x14ac:dyDescent="0.25">
      <c r="A46" s="367"/>
      <c r="B46" s="367"/>
      <c r="C46" s="367"/>
      <c r="D46" s="276"/>
      <c r="E46" s="368">
        <f ca="1">OFFSET($E46,-1,0,1,1)+1</f>
        <v>1</v>
      </c>
      <c r="F46" s="369" t="s">
        <v>1151</v>
      </c>
      <c r="G46" s="271"/>
      <c r="H46" s="295"/>
      <c r="I46" s="264"/>
      <c r="J46" s="139" t="e">
        <f>VLOOKUP($H$5,Source!$L$42:$V$86,11,0)</f>
        <v>#N/A</v>
      </c>
      <c r="K46" s="265"/>
      <c r="L46" s="370"/>
      <c r="M46" s="265"/>
      <c r="N46" s="280"/>
      <c r="O46" s="39"/>
      <c r="P46" s="275"/>
      <c r="Q46" s="39"/>
      <c r="R46" s="265"/>
      <c r="S46" s="266"/>
    </row>
    <row r="47" spans="1:27" x14ac:dyDescent="0.25">
      <c r="A47" s="367"/>
      <c r="B47" s="367"/>
      <c r="C47" s="367"/>
      <c r="D47" s="276"/>
      <c r="E47" s="368">
        <f ca="1">OFFSET($E47,-1,0,1,1)+1</f>
        <v>2</v>
      </c>
      <c r="F47" s="369" t="s">
        <v>1151</v>
      </c>
      <c r="G47" s="271"/>
      <c r="H47" s="380"/>
      <c r="I47" s="381"/>
      <c r="J47" s="381"/>
      <c r="K47" s="382"/>
      <c r="L47" s="381"/>
      <c r="M47" s="382"/>
      <c r="N47" s="383"/>
      <c r="O47" s="381"/>
      <c r="P47" s="382"/>
      <c r="Q47" s="384"/>
      <c r="R47" s="265"/>
      <c r="S47" s="266"/>
    </row>
    <row r="50" spans="1:17" x14ac:dyDescent="0.25">
      <c r="A50" s="63"/>
      <c r="B50" s="136"/>
      <c r="C50" s="138">
        <f ca="1">OFFSET($C50,-1,0,1,1)+1</f>
        <v>1</v>
      </c>
      <c r="D50" s="538"/>
      <c r="E50" s="713"/>
      <c r="F50" s="713"/>
      <c r="G50" s="713"/>
      <c r="H50" s="587"/>
      <c r="I50" s="587"/>
      <c r="J50" s="587"/>
      <c r="K50" s="587"/>
      <c r="L50" s="587"/>
      <c r="M50" s="587"/>
      <c r="N50" s="587"/>
      <c r="O50" s="587"/>
      <c r="P50" s="536">
        <f>H50-J50-L50+N50</f>
        <v>0</v>
      </c>
      <c r="Q50" s="536">
        <f>I50-K50-M50+O50</f>
        <v>0</v>
      </c>
    </row>
    <row r="51" spans="1:17" s="53" customFormat="1" ht="15" customHeight="1" x14ac:dyDescent="0.2">
      <c r="A51" s="27"/>
      <c r="B51" s="570"/>
      <c r="C51" s="560">
        <f ca="1">OFFSET($C51,-1,0,1,1)+1</f>
        <v>2</v>
      </c>
      <c r="D51" s="764"/>
      <c r="E51" s="588"/>
      <c r="F51" s="587"/>
      <c r="G51" s="587"/>
      <c r="H51" s="590"/>
      <c r="J51" s="54"/>
      <c r="K51" s="54"/>
      <c r="L51" s="54"/>
    </row>
    <row r="53" spans="1:17" s="27" customFormat="1" ht="15" customHeight="1" x14ac:dyDescent="0.25">
      <c r="A53"/>
      <c r="B53" s="286"/>
      <c r="C53" s="547"/>
      <c r="D53" s="548">
        <f ca="1">OFFSET($D53,-1,0,1,1)+1</f>
        <v>1</v>
      </c>
      <c r="E53" s="264"/>
      <c r="F53" s="275"/>
      <c r="G53" s="39" t="s">
        <v>204</v>
      </c>
      <c r="H53" s="265"/>
      <c r="I53" s="265"/>
      <c r="J53" s="384" t="s">
        <v>305</v>
      </c>
      <c r="K53" s="384">
        <v>1</v>
      </c>
      <c r="L53" s="265"/>
      <c r="M53" s="266"/>
    </row>
    <row r="54" spans="1:17" s="27" customFormat="1" ht="15" customHeight="1" x14ac:dyDescent="0.25">
      <c r="A54"/>
      <c r="B54" s="286"/>
      <c r="C54" s="594"/>
      <c r="D54" s="596">
        <f ca="1">OFFSET($D54,-1,0,1,1)+1</f>
        <v>2</v>
      </c>
      <c r="E54" s="264"/>
      <c r="F54" s="275"/>
      <c r="G54" s="39" t="s">
        <v>204</v>
      </c>
      <c r="H54" s="265"/>
      <c r="I54" s="265"/>
      <c r="J54" s="275"/>
      <c r="K54" s="265"/>
      <c r="L54" s="265"/>
      <c r="M54" s="266"/>
    </row>
    <row r="56" spans="1:17" s="27" customFormat="1" ht="15" customHeight="1" x14ac:dyDescent="0.25">
      <c r="A56" s="605"/>
      <c r="B56" s="648"/>
      <c r="C56" s="645"/>
      <c r="D56" s="520">
        <f ca="1">OFFSET($D54,-1,0,1,1)+1</f>
        <v>2</v>
      </c>
      <c r="E56" s="655"/>
      <c r="F56" s="631"/>
      <c r="G56" s="39"/>
      <c r="H56" s="656"/>
      <c r="I56" s="145"/>
      <c r="J56" s="145"/>
      <c r="K56" s="145"/>
      <c r="L56" s="656"/>
      <c r="M56" s="266"/>
      <c r="N56" s="543"/>
    </row>
    <row r="57" spans="1:17" x14ac:dyDescent="0.25">
      <c r="J57" t="s">
        <v>1404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E6:F6"/>
    <mergeCell ref="E7:F7"/>
    <mergeCell ref="E8:F8"/>
    <mergeCell ref="K31:L31"/>
  </mergeCells>
  <dataValidations count="34">
    <dataValidation type="list" allowBlank="1" showInputMessage="1" showErrorMessage="1" sqref="L41">
      <formula1>ajilgaa_yawuulsan_jil</formula1>
    </dataValidation>
    <dataValidation type="decimal" allowBlank="1" showInputMessage="1" showErrorMessage="1" errorTitle="Анхаар" error="Зөвхөн тоо оруулна уу." sqref="O1:V1 K2:K5 M2:N5 O2:R2 Q3:R3 R4:R5 P4:P5 H6:H9 F10:G10 I10:J10 K11:K12 M11:N11 Q11:R11 J12 G12:H12 F13:G16 L16:M18 O16:P18 R16:S18 U16:V18 O19:U20 Q21:U22 N26:P27 M24:Q25 R24:T27 U24:U25 V24:X27 Y24:Y25 N29:U29 M45:N46 Q45:R45 F31:H32 I31:M31 P31:Q31 K35:K36 M35:N36 Q35:R36 K38:K39 M38:N39 P38 R38:R39 H41:H43 I41 K42:L43 R46:R47 N41:N43 O42:O43 K45:K46 E31:E32">
      <formula1>-9.99999999999999E+34</formula1>
      <formula2>9.99999999999999E+35</formula2>
    </dataValidation>
    <dataValidation type="list" allowBlank="1" showInputMessage="1" showErrorMessage="1" sqref="E6:F6">
      <formula1>zasag</formula1>
    </dataValidation>
    <dataValidation type="list" allowBlank="1" showInputMessage="1" showErrorMessage="1" sqref="E7:F8">
      <formula1>zasag_bus</formula1>
    </dataValidation>
    <dataValidation type="list" allowBlank="1" showInputMessage="1" showErrorMessage="1" sqref="F9">
      <formula1>zzasag_gadaad</formula1>
    </dataValidation>
    <dataValidation type="list" allowBlank="1" showInputMessage="1" showErrorMessage="1" sqref="H35:H36 H46 E9">
      <formula1>borluulalt_uls</formula1>
    </dataValidation>
    <dataValidation type="decimal" allowBlank="1" showInputMessage="1" showErrorMessage="1" errorTitle="Анхаар" error="Зөвхөн тоо оруулана уу." sqref="AT24:AV27 AW24:AW25 AX24:AZ27 AK24:AK25 AH24:AJ27 AL24:AN27 AS24:AS25 AP24:AR27 AO24:AO25 Z24:AB27 AC24:AC25 AD24:AF27 AG24:AG25">
      <formula1>-9.99999999999999E+35</formula1>
      <formula2>9.99999999999999E+36</formula2>
    </dataValidation>
    <dataValidation type="list" allowBlank="1" showInputMessage="1" showErrorMessage="1" sqref="G11 G3 G39 G35:G36 G46:G47">
      <formula1>INDIRECT($H$5)</formula1>
    </dataValidation>
    <dataValidation type="list" allowBlank="1" showInputMessage="1" showErrorMessage="1" sqref="P11 P3 P39 P35:P36 P46">
      <formula1>borluulaltiin_negj</formula1>
    </dataValidation>
    <dataValidation type="list" allowBlank="1" showInputMessage="1" showErrorMessage="1" sqref="C33">
      <formula1>teselgeenii_alban_tushaal</formula1>
    </dataValidation>
    <dataValidation type="list" allowBlank="1" showInputMessage="1" showErrorMessage="1" sqref="C32">
      <formula1>teselgeenii_bodisiin_ner</formula1>
    </dataValidation>
    <dataValidation type="list" allowBlank="1" showInputMessage="1" showErrorMessage="1" sqref="N31 F33">
      <formula1>yesno</formula1>
    </dataValidation>
    <dataValidation type="list" allowBlank="1" showInputMessage="1" showErrorMessage="1" sqref="O31">
      <formula1>aguulgiin_angilal</formula1>
    </dataValidation>
    <dataValidation type="list" allowBlank="1" showInputMessage="1" showErrorMessage="1" sqref="D43">
      <formula1>tehnik_8_2</formula1>
    </dataValidation>
    <dataValidation type="list" allowBlank="1" showInputMessage="1" showErrorMessage="1" sqref="Q42:Q43">
      <formula1>tehnikiin_umch</formula1>
    </dataValidation>
    <dataValidation type="list" allowBlank="1" showInputMessage="1" showErrorMessage="1" sqref="I42:J43">
      <formula1>tehnikiin_on</formula1>
    </dataValidation>
    <dataValidation type="list" allowBlank="1" showInputMessage="1" showErrorMessage="1" sqref="M42:M43">
      <formula1>tehnikiin_hemjih</formula1>
    </dataValidation>
    <dataValidation type="list" allowBlank="1" showInputMessage="1" showErrorMessage="1" sqref="F42:F43">
      <formula1>tehnik_uls_8_1</formula1>
    </dataValidation>
    <dataValidation type="list" allowBlank="1" showInputMessage="1" showErrorMessage="1" sqref="J41:K41">
      <formula1>tehnik_uild_on</formula1>
    </dataValidation>
    <dataValidation type="list" allowBlank="1" showInputMessage="1" showErrorMessage="1" sqref="F41">
      <formula1>tehnikiin_uls</formula1>
    </dataValidation>
    <dataValidation type="list" allowBlank="1" showInputMessage="1" showErrorMessage="1" sqref="D13">
      <formula1>INDIRECT($G$5)</formula1>
    </dataValidation>
    <dataValidation type="decimal" allowBlank="1" showInputMessage="1" showErrorMessage="1" errorTitle="Анхаар" error="Зөвхөн тоо оруулана уу." sqref="C31">
      <formula1>-9.99999999999999E+34</formula1>
      <formula2>9.99999999999999E+35</formula2>
    </dataValidation>
    <dataValidation type="list" allowBlank="1" showInputMessage="1" showErrorMessage="1" sqref="D2 D11 D36">
      <formula1>saruud</formula1>
    </dataValidation>
    <dataValidation type="list" allowBlank="1" showInputMessage="1" showErrorMessage="1" sqref="C25:C27 G2">
      <formula1>buteegdehuunuud</formula1>
    </dataValidation>
    <dataValidation type="list" allowBlank="1" showInputMessage="1" showErrorMessage="1" sqref="O35:O36 O11 O3">
      <formula1>currency</formula1>
    </dataValidation>
    <dataValidation type="list" allowBlank="1" showInputMessage="1" showErrorMessage="1" sqref="E19 C24">
      <formula1>nuutsiin_zereg</formula1>
    </dataValidation>
    <dataValidation type="list" allowBlank="1" showInputMessage="1" showErrorMessage="1" sqref="N19:N22">
      <formula1>INDIRECT($V$5)</formula1>
    </dataValidation>
    <dataValidation type="list" allowBlank="1" showInputMessage="1" showErrorMessage="1" sqref="L24:L27">
      <formula1>INDIRECT($W$2)</formula1>
    </dataValidation>
    <dataValidation type="list" allowBlank="1" showInputMessage="1" showErrorMessage="1" sqref="D16">
      <formula1>INDIRECT($O$3)</formula1>
    </dataValidation>
    <dataValidation type="list" allowBlank="1" showInputMessage="1" showErrorMessage="1" sqref="J16:J18">
      <formula1>INDIRECT($P$3)</formula1>
    </dataValidation>
    <dataValidation type="list" allowBlank="1" showInputMessage="1" showErrorMessage="1" sqref="D10">
      <formula1>INDIRECT($G$3)</formula1>
    </dataValidation>
    <dataValidation type="decimal" allowBlank="1" showInputMessage="1" showErrorMessage="1" errorTitle="Анхаар" error="Зөвхөн тоо оруулна уу." sqref="F51:G51 H50:O50">
      <formula1>-9.99999999999999E+35</formula1>
      <formula2>9.99999999999999E+36</formula2>
    </dataValidation>
    <dataValidation type="decimal" allowBlank="1" showInputMessage="1" showErrorMessage="1" errorTitle="Анхаар" error="Зөвхөн тоо оруулна уу." sqref="H56 L56">
      <formula1>-9.99999999999999E+33</formula1>
      <formula2>9.99999999999999E+34</formula2>
    </dataValidation>
    <dataValidation type="list" allowBlank="1" showInputMessage="1" showErrorMessage="1" sqref="D51">
      <formula1>nuurs_o_turul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delete_srow">
                <anchor moveWithCells="1" sizeWithCells="1">
                  <from>
                    <xdr:col>12</xdr:col>
                    <xdr:colOff>38100</xdr:colOff>
                    <xdr:row>0</xdr:row>
                    <xdr:rowOff>28575</xdr:rowOff>
                  </from>
                  <to>
                    <xdr:col>12</xdr:col>
                    <xdr:colOff>228600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1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1</xdr:row>
                    <xdr:rowOff>28575</xdr:rowOff>
                  </from>
                  <to>
                    <xdr:col>4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2</xdr:row>
                    <xdr:rowOff>28575</xdr:rowOff>
                  </from>
                  <to>
                    <xdr:col>4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Button 7">
              <controlPr defaultSize="0" print="0" autoFill="0" autoPict="0" macro="[0]!f18_delete_row3">
                <anchor moveWithCells="1" sizeWithCells="1">
                  <from>
                    <xdr:col>2</xdr:col>
                    <xdr:colOff>57150</xdr:colOff>
                    <xdr:row>5</xdr:row>
                    <xdr:rowOff>28575</xdr:rowOff>
                  </from>
                  <to>
                    <xdr:col>2</xdr:col>
                    <xdr:colOff>247650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Button 8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6</xdr:row>
                    <xdr:rowOff>28575</xdr:rowOff>
                  </from>
                  <to>
                    <xdr:col>2</xdr:col>
                    <xdr:colOff>247650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Button 9">
              <controlPr defaultSize="0" print="0" autoFill="0" autoPict="0" macro="[0]!f18_delete_row1">
                <anchor moveWithCells="1" sizeWithCells="1">
                  <from>
                    <xdr:col>2</xdr:col>
                    <xdr:colOff>57150</xdr:colOff>
                    <xdr:row>7</xdr:row>
                    <xdr:rowOff>28575</xdr:rowOff>
                  </from>
                  <to>
                    <xdr:col>2</xdr:col>
                    <xdr:colOff>247650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Button 10">
              <controlPr defaultSize="0" print="0" autoFill="0" autoPict="0" macro="[0]!f18_delete_row2">
                <anchor moveWithCells="1" sizeWithCells="1">
                  <from>
                    <xdr:col>2</xdr:col>
                    <xdr:colOff>57150</xdr:colOff>
                    <xdr:row>8</xdr:row>
                    <xdr:rowOff>28575</xdr:rowOff>
                  </from>
                  <to>
                    <xdr:col>2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Button 11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9</xdr:row>
                    <xdr:rowOff>38100</xdr:rowOff>
                  </from>
                  <to>
                    <xdr:col>1</xdr:col>
                    <xdr:colOff>228600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Button 12">
              <controlPr defaultSize="0" print="0" autoFill="0" autoPict="0" macro="[0]!delete_s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Button 13">
              <controlPr defaultSize="0" print="0" autoFill="0" autoPict="0">
                <anchor moveWithCells="1" sizeWithCells="1">
                  <from>
                    <xdr:col>2</xdr:col>
                    <xdr:colOff>57150</xdr:colOff>
                    <xdr:row>12</xdr:row>
                    <xdr:rowOff>57150</xdr:rowOff>
                  </from>
                  <to>
                    <xdr:col>2</xdr:col>
                    <xdr:colOff>247650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Button 14">
              <controlPr defaultSize="0" print="0" autoFill="0" autoPict="0">
                <anchor moveWithCells="1" sizeWithCells="1">
                  <from>
                    <xdr:col>2</xdr:col>
                    <xdr:colOff>57150</xdr:colOff>
                    <xdr:row>13</xdr:row>
                    <xdr:rowOff>57150</xdr:rowOff>
                  </from>
                  <to>
                    <xdr:col>2</xdr:col>
                    <xdr:colOff>247650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Button 15">
              <controlPr defaultSize="0" print="0" autoFill="0" autoPict="0">
                <anchor moveWithCells="1" sizeWithCells="1">
                  <from>
                    <xdr:col>2</xdr:col>
                    <xdr:colOff>57150</xdr:colOff>
                    <xdr:row>14</xdr:row>
                    <xdr:rowOff>57150</xdr:rowOff>
                  </from>
                  <to>
                    <xdr:col>2</xdr:col>
                    <xdr:colOff>247650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Button 16">
              <controlPr defaultSize="0" print="0" autoFill="0" autoPict="0">
                <anchor moveWithCells="1" sizeWithCells="1">
                  <from>
                    <xdr:col>1</xdr:col>
                    <xdr:colOff>57150</xdr:colOff>
                    <xdr:row>15</xdr:row>
                    <xdr:rowOff>133350</xdr:rowOff>
                  </from>
                  <to>
                    <xdr:col>1</xdr:col>
                    <xdr:colOff>247650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Button 17">
              <controlPr defaultSize="0" print="0" autoFill="0" autoPict="0">
                <anchor moveWithCells="1" sizeWithCells="1">
                  <from>
                    <xdr:col>7</xdr:col>
                    <xdr:colOff>47625</xdr:colOff>
                    <xdr:row>15</xdr:row>
                    <xdr:rowOff>123825</xdr:rowOff>
                  </from>
                  <to>
                    <xdr:col>7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Button 18">
              <controlPr defaultSize="0" print="0" autoFill="0" autoPict="0">
                <anchor moveWithCells="1" sizeWithCells="1">
                  <from>
                    <xdr:col>7</xdr:col>
                    <xdr:colOff>57150</xdr:colOff>
                    <xdr:row>16</xdr:row>
                    <xdr:rowOff>133350</xdr:rowOff>
                  </from>
                  <to>
                    <xdr:col>7</xdr:col>
                    <xdr:colOff>247650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Button 19">
              <controlPr defaultSize="0" print="0" autoFill="0" autoPict="0">
                <anchor moveWithCells="1" sizeWithCells="1">
                  <from>
                    <xdr:col>7</xdr:col>
                    <xdr:colOff>57150</xdr:colOff>
                    <xdr:row>17</xdr:row>
                    <xdr:rowOff>133350</xdr:rowOff>
                  </from>
                  <to>
                    <xdr:col>7</xdr:col>
                    <xdr:colOff>247650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Button 20">
              <controlPr defaultSize="0" print="0" autoFill="0" autoPict="0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Button 21">
              <controlPr defaultSize="0" print="0" autoFill="0" autoPict="0">
                <anchor moveWithCells="1" sizeWithCells="1">
                  <from>
                    <xdr:col>8</xdr:col>
                    <xdr:colOff>38100</xdr:colOff>
                    <xdr:row>18</xdr:row>
                    <xdr:rowOff>28575</xdr:rowOff>
                  </from>
                  <to>
                    <xdr:col>8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Button 22">
              <controlPr defaultSize="0" print="0" autoFill="0" autoPict="0">
                <anchor moveWithCells="1" sizeWithCells="1">
                  <from>
                    <xdr:col>11</xdr:col>
                    <xdr:colOff>38100</xdr:colOff>
                    <xdr:row>18</xdr:row>
                    <xdr:rowOff>28575</xdr:rowOff>
                  </from>
                  <to>
                    <xdr:col>11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Button 23">
              <controlPr defaultSize="0" print="0" autoFill="0" autoPict="0">
                <anchor moveWithCells="1" sizeWithCells="1">
                  <from>
                    <xdr:col>2</xdr:col>
                    <xdr:colOff>38100</xdr:colOff>
                    <xdr:row>18</xdr:row>
                    <xdr:rowOff>38100</xdr:rowOff>
                  </from>
                  <to>
                    <xdr:col>2</xdr:col>
                    <xdr:colOff>228600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Button 24">
              <controlPr defaultSize="0" print="0" autoFill="0" autoPict="0">
                <anchor moveWithCells="1" sizeWithCells="1">
                  <from>
                    <xdr:col>8</xdr:col>
                    <xdr:colOff>38100</xdr:colOff>
                    <xdr:row>19</xdr:row>
                    <xdr:rowOff>28575</xdr:rowOff>
                  </from>
                  <to>
                    <xdr:col>8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Button 25">
              <controlPr defaultSize="0" print="0" autoFill="0" autoPict="0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Button 26">
              <controlPr defaultSize="0" print="0" autoFill="0" autoPict="0">
                <anchor moveWithCells="1" sizeWithCells="1">
                  <from>
                    <xdr:col>5</xdr:col>
                    <xdr:colOff>47625</xdr:colOff>
                    <xdr:row>19</xdr:row>
                    <xdr:rowOff>38100</xdr:rowOff>
                  </from>
                  <to>
                    <xdr:col>5</xdr:col>
                    <xdr:colOff>238125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Button 27">
              <controlPr defaultSize="0" print="0" autoFill="0" autoPict="0">
                <anchor moveWithCells="1" sizeWithCells="1">
                  <from>
                    <xdr:col>11</xdr:col>
                    <xdr:colOff>38100</xdr:colOff>
                    <xdr:row>20</xdr:row>
                    <xdr:rowOff>28575</xdr:rowOff>
                  </from>
                  <to>
                    <xdr:col>11</xdr:col>
                    <xdr:colOff>228600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Button 28">
              <controlPr defaultSize="0" print="0" autoFill="0" autoPict="0">
                <anchor moveWithCells="1" sizeWithCells="1">
                  <from>
                    <xdr:col>8</xdr:col>
                    <xdr:colOff>38100</xdr:colOff>
                    <xdr:row>20</xdr:row>
                    <xdr:rowOff>38100</xdr:rowOff>
                  </from>
                  <to>
                    <xdr:col>8</xdr:col>
                    <xdr:colOff>228600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Button 29">
              <controlPr defaultSize="0" print="0" autoFill="0" autoPict="0">
                <anchor moveWithCells="1" sizeWithCells="1">
                  <from>
                    <xdr:col>11</xdr:col>
                    <xdr:colOff>47625</xdr:colOff>
                    <xdr:row>21</xdr:row>
                    <xdr:rowOff>38100</xdr:rowOff>
                  </from>
                  <to>
                    <xdr:col>11</xdr:col>
                    <xdr:colOff>238125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Button 30">
              <controlPr defaultSize="0" print="0" autoFill="0" autoPict="0">
                <anchor moveWithCells="1" sizeWithCells="1">
                  <from>
                    <xdr:col>3</xdr:col>
                    <xdr:colOff>47625</xdr:colOff>
                    <xdr:row>23</xdr:row>
                    <xdr:rowOff>28575</xdr:rowOff>
                  </from>
                  <to>
                    <xdr:col>3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Button 31">
              <controlPr defaultSize="0" print="0" autoFill="0" autoPict="0">
                <anchor moveWithCells="1" sizeWithCells="1">
                  <from>
                    <xdr:col>6</xdr:col>
                    <xdr:colOff>47625</xdr:colOff>
                    <xdr:row>23</xdr:row>
                    <xdr:rowOff>28575</xdr:rowOff>
                  </from>
                  <to>
                    <xdr:col>6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Button 32">
              <controlPr defaultSize="0" print="0" autoFill="0" autoPict="0">
                <anchor moveWithCells="1" sizeWithCells="1">
                  <from>
                    <xdr:col>9</xdr:col>
                    <xdr:colOff>47625</xdr:colOff>
                    <xdr:row>23</xdr:row>
                    <xdr:rowOff>28575</xdr:rowOff>
                  </from>
                  <to>
                    <xdr:col>9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Button 33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Button 34">
              <controlPr defaultSize="0" print="0" autoFill="0" autoPict="0">
                <anchor moveWithCells="1" sizeWithCells="1">
                  <from>
                    <xdr:col>6</xdr:col>
                    <xdr:colOff>47625</xdr:colOff>
                    <xdr:row>24</xdr:row>
                    <xdr:rowOff>28575</xdr:rowOff>
                  </from>
                  <to>
                    <xdr:col>6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Button 35">
              <controlPr defaultSize="0" print="0" autoFill="0" autoPict="0">
                <anchor moveWithCells="1" sizeWithCells="1">
                  <from>
                    <xdr:col>9</xdr:col>
                    <xdr:colOff>47625</xdr:colOff>
                    <xdr:row>24</xdr:row>
                    <xdr:rowOff>28575</xdr:rowOff>
                  </from>
                  <to>
                    <xdr:col>9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Button 36">
              <controlPr defaultSize="0" print="0" autoFill="0" autoPict="0">
                <anchor moveWithCells="1" sizeWithCells="1">
                  <from>
                    <xdr:col>3</xdr:col>
                    <xdr:colOff>47625</xdr:colOff>
                    <xdr:row>24</xdr:row>
                    <xdr:rowOff>28575</xdr:rowOff>
                  </from>
                  <to>
                    <xdr:col>3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Button 37">
              <controlPr defaultSize="0" print="0" autoFill="0" autoPict="0">
                <anchor moveWithCells="1" sizeWithCells="1">
                  <from>
                    <xdr:col>9</xdr:col>
                    <xdr:colOff>47625</xdr:colOff>
                    <xdr:row>25</xdr:row>
                    <xdr:rowOff>28575</xdr:rowOff>
                  </from>
                  <to>
                    <xdr:col>9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Button 38">
              <controlPr defaultSize="0" print="0" autoFill="0" autoPict="0">
                <anchor moveWithCells="1" sizeWithCells="1">
                  <from>
                    <xdr:col>6</xdr:col>
                    <xdr:colOff>47625</xdr:colOff>
                    <xdr:row>25</xdr:row>
                    <xdr:rowOff>28575</xdr:rowOff>
                  </from>
                  <to>
                    <xdr:col>6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Button 39">
              <controlPr defaultSize="0" print="0" autoFill="0" autoPict="0">
                <anchor moveWithCells="1" sizeWithCells="1">
                  <from>
                    <xdr:col>9</xdr:col>
                    <xdr:colOff>47625</xdr:colOff>
                    <xdr:row>26</xdr:row>
                    <xdr:rowOff>28575</xdr:rowOff>
                  </from>
                  <to>
                    <xdr:col>9</xdr:col>
                    <xdr:colOff>238125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Button 40">
              <controlPr defaultSize="0" print="0" autoFill="0" autoPict="0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238125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Button 41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30</xdr:row>
                    <xdr:rowOff>28575</xdr:rowOff>
                  </from>
                  <to>
                    <xdr:col>0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Button 42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31</xdr:row>
                    <xdr:rowOff>28575</xdr:rowOff>
                  </from>
                  <to>
                    <xdr:col>0</xdr:col>
                    <xdr:colOff>238125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Button 43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32</xdr:row>
                    <xdr:rowOff>28575</xdr:rowOff>
                  </from>
                  <to>
                    <xdr:col>0</xdr:col>
                    <xdr:colOff>238125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Button 44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34</xdr:row>
                    <xdr:rowOff>28575</xdr:rowOff>
                  </from>
                  <to>
                    <xdr:col>4</xdr:col>
                    <xdr:colOff>228600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Button 45">
              <controlPr defaultSize="0" print="0" autoFill="0" autoPict="0">
                <anchor moveWithCells="1" siz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Button 46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35</xdr:row>
                    <xdr:rowOff>28575</xdr:rowOff>
                  </from>
                  <to>
                    <xdr:col>4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Button 47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37</xdr:row>
                    <xdr:rowOff>28575</xdr:rowOff>
                  </from>
                  <to>
                    <xdr:col>5</xdr:col>
                    <xdr:colOff>228600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Button 48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38</xdr:row>
                    <xdr:rowOff>28575</xdr:rowOff>
                  </from>
                  <to>
                    <xdr:col>5</xdr:col>
                    <xdr:colOff>228600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Button 49">
              <controlPr defaultSize="0" print="0" autoFill="0" autoPict="0" macro="[0]!delete_srow">
                <anchor moveWithCells="1" sizeWithCells="1">
                  <from>
                    <xdr:col>0</xdr:col>
                    <xdr:colOff>38100</xdr:colOff>
                    <xdr:row>40</xdr:row>
                    <xdr:rowOff>28575</xdr:rowOff>
                  </from>
                  <to>
                    <xdr:col>0</xdr:col>
                    <xdr:colOff>228600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Button 50">
              <controlPr defaultSize="0" print="0" autoFill="0" autoPict="0" macro="[0]!delete_srow">
                <anchor moveWithCells="1" sizeWithCells="1">
                  <from>
                    <xdr:col>0</xdr:col>
                    <xdr:colOff>38100</xdr:colOff>
                    <xdr:row>41</xdr:row>
                    <xdr:rowOff>28575</xdr:rowOff>
                  </from>
                  <to>
                    <xdr:col>0</xdr:col>
                    <xdr:colOff>228600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Button 51">
              <controlPr defaultSize="0" print="0" autoFill="0" autoPict="0" macro="[0]!delete_srow">
                <anchor moveWithCells="1" sizeWithCells="1">
                  <from>
                    <xdr:col>0</xdr:col>
                    <xdr:colOff>38100</xdr:colOff>
                    <xdr:row>42</xdr:row>
                    <xdr:rowOff>28575</xdr:rowOff>
                  </from>
                  <to>
                    <xdr:col>0</xdr:col>
                    <xdr:colOff>228600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Button 52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44</xdr:row>
                    <xdr:rowOff>28575</xdr:rowOff>
                  </from>
                  <to>
                    <xdr:col>4</xdr:col>
                    <xdr:colOff>228600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Button 53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45</xdr:row>
                    <xdr:rowOff>28575</xdr:rowOff>
                  </from>
                  <to>
                    <xdr:col>5</xdr:col>
                    <xdr:colOff>228600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Button 54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46</xdr:row>
                    <xdr:rowOff>28575</xdr:rowOff>
                  </from>
                  <to>
                    <xdr:col>5</xdr:col>
                    <xdr:colOff>228600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8" name="Button 56">
              <controlPr defaultSize="0" print="0" autoFill="0" autoPict="0" macro="[0]!delete_srow">
                <anchor moveWithCells="1" sizeWithCells="1">
                  <from>
                    <xdr:col>0</xdr:col>
                    <xdr:colOff>38100</xdr:colOff>
                    <xdr:row>49</xdr:row>
                    <xdr:rowOff>28575</xdr:rowOff>
                  </from>
                  <to>
                    <xdr:col>0</xdr:col>
                    <xdr:colOff>228600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59" name="Button 58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50</xdr:row>
                    <xdr:rowOff>28575</xdr:rowOff>
                  </from>
                  <to>
                    <xdr:col>0</xdr:col>
                    <xdr:colOff>238125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0" name="Button 60">
              <controlPr defaultSize="0" print="0" autoFill="0" autoPict="0" macro="[0]!delete_srow">
                <anchor moveWithCells="1" sizeWithCells="1">
                  <from>
                    <xdr:col>2</xdr:col>
                    <xdr:colOff>47625</xdr:colOff>
                    <xdr:row>52</xdr:row>
                    <xdr:rowOff>28575</xdr:rowOff>
                  </from>
                  <to>
                    <xdr:col>2</xdr:col>
                    <xdr:colOff>238125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1" name="Button 61">
              <controlPr defaultSize="0" print="0" autoFill="0" autoPict="0" macro="[0]!delete_srow">
                <anchor moveWithCells="1" sizeWithCells="1">
                  <from>
                    <xdr:col>2</xdr:col>
                    <xdr:colOff>47625</xdr:colOff>
                    <xdr:row>53</xdr:row>
                    <xdr:rowOff>28575</xdr:rowOff>
                  </from>
                  <to>
                    <xdr:col>2</xdr:col>
                    <xdr:colOff>238125</xdr:colOff>
                    <xdr:row>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2" name="Button 65">
              <controlPr defaultSize="0" print="0" autoFill="0" autoPict="0" macro="[0]!delete_srow">
                <anchor moveWithCells="1" sizeWithCells="1">
                  <from>
                    <xdr:col>2</xdr:col>
                    <xdr:colOff>38100</xdr:colOff>
                    <xdr:row>55</xdr:row>
                    <xdr:rowOff>28575</xdr:rowOff>
                  </from>
                  <to>
                    <xdr:col>2</xdr:col>
                    <xdr:colOff>228600</xdr:colOff>
                    <xdr:row>55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BJ37"/>
  <sheetViews>
    <sheetView showGridLines="0" workbookViewId="0">
      <selection activeCell="C36" sqref="C36"/>
    </sheetView>
  </sheetViews>
  <sheetFormatPr defaultColWidth="9.140625" defaultRowHeight="14.25" x14ac:dyDescent="0.2"/>
  <cols>
    <col min="1" max="1" width="9.140625" style="120"/>
    <col min="2" max="2" width="18.85546875" style="120" customWidth="1"/>
    <col min="3" max="3" width="22.5703125" style="120" customWidth="1"/>
    <col min="4" max="4" width="21.85546875" style="122" customWidth="1"/>
    <col min="5" max="5" width="21.42578125" style="120" customWidth="1"/>
    <col min="6" max="62" width="9.140625" style="117"/>
    <col min="63" max="16384" width="9.140625" style="120"/>
  </cols>
  <sheetData>
    <row r="1" spans="1:62" s="117" customFormat="1" ht="99" customHeight="1" x14ac:dyDescent="0.2">
      <c r="B1" s="827" t="s">
        <v>252</v>
      </c>
      <c r="C1" s="827"/>
      <c r="D1" s="827"/>
      <c r="E1" s="827"/>
      <c r="G1" s="780"/>
    </row>
    <row r="2" spans="1:62" s="107" customFormat="1" ht="15.75" customHeight="1" x14ac:dyDescent="0.25">
      <c r="A2" s="1"/>
      <c r="F2" s="779"/>
      <c r="G2" s="779"/>
      <c r="H2" s="779"/>
      <c r="I2" s="779"/>
      <c r="J2" s="779"/>
      <c r="K2" s="779"/>
      <c r="L2" s="779"/>
      <c r="M2" s="779"/>
      <c r="N2" s="779"/>
      <c r="O2" s="779"/>
      <c r="P2" s="779"/>
      <c r="Q2" s="779"/>
      <c r="R2" s="779"/>
      <c r="S2" s="779"/>
      <c r="T2" s="779"/>
      <c r="U2" s="779"/>
      <c r="V2" s="779"/>
      <c r="W2" s="779"/>
      <c r="X2" s="779"/>
      <c r="Y2" s="779"/>
      <c r="Z2" s="779"/>
      <c r="AA2" s="779"/>
      <c r="AB2" s="779"/>
      <c r="AC2" s="779"/>
      <c r="AD2" s="779"/>
      <c r="AE2" s="779"/>
      <c r="AF2" s="779"/>
      <c r="AG2" s="779"/>
      <c r="AH2" s="779"/>
      <c r="AI2" s="779"/>
      <c r="AJ2" s="779"/>
      <c r="AK2" s="779"/>
      <c r="AL2" s="779"/>
      <c r="AM2" s="779"/>
      <c r="AN2" s="779"/>
      <c r="AO2" s="779"/>
      <c r="AP2" s="779"/>
      <c r="AQ2" s="779"/>
      <c r="AR2" s="779"/>
      <c r="AS2" s="779"/>
      <c r="AT2" s="779"/>
      <c r="AU2" s="779"/>
      <c r="AV2" s="779"/>
      <c r="AW2" s="779"/>
      <c r="AX2" s="779"/>
      <c r="AY2" s="779"/>
      <c r="AZ2" s="779"/>
      <c r="BA2" s="779"/>
      <c r="BB2" s="779"/>
      <c r="BC2" s="779"/>
      <c r="BD2" s="779"/>
      <c r="BE2" s="779"/>
      <c r="BF2" s="779"/>
      <c r="BG2" s="779"/>
      <c r="BH2" s="779"/>
      <c r="BI2" s="779"/>
      <c r="BJ2" s="779"/>
    </row>
    <row r="3" spans="1:62" s="107" customFormat="1" ht="18.75" customHeight="1" x14ac:dyDescent="0.25">
      <c r="A3" s="119" t="s">
        <v>0</v>
      </c>
      <c r="C3" s="124"/>
      <c r="E3" s="126" t="s">
        <v>250</v>
      </c>
      <c r="F3" s="779"/>
      <c r="G3" s="779"/>
      <c r="H3" s="779"/>
      <c r="I3" s="779"/>
      <c r="J3" s="779"/>
      <c r="K3" s="779"/>
      <c r="L3" s="779"/>
      <c r="M3" s="779"/>
      <c r="N3" s="779"/>
      <c r="O3" s="779"/>
      <c r="P3" s="779"/>
      <c r="Q3" s="779"/>
      <c r="R3" s="779"/>
      <c r="S3" s="779"/>
      <c r="T3" s="779"/>
      <c r="U3" s="779"/>
      <c r="V3" s="779"/>
      <c r="W3" s="779"/>
      <c r="X3" s="779"/>
      <c r="Y3" s="779"/>
      <c r="Z3" s="779"/>
      <c r="AA3" s="779"/>
      <c r="AB3" s="779"/>
      <c r="AC3" s="779"/>
      <c r="AD3" s="779"/>
      <c r="AE3" s="779"/>
      <c r="AF3" s="779"/>
      <c r="AG3" s="779"/>
      <c r="AH3" s="779"/>
      <c r="AI3" s="779"/>
      <c r="AJ3" s="779"/>
      <c r="AK3" s="779"/>
      <c r="AL3" s="779"/>
      <c r="AM3" s="779"/>
      <c r="AN3" s="779"/>
      <c r="AO3" s="779"/>
      <c r="AP3" s="779"/>
      <c r="AQ3" s="779"/>
      <c r="AR3" s="779"/>
      <c r="AS3" s="779"/>
      <c r="AT3" s="779"/>
      <c r="AU3" s="779"/>
      <c r="AV3" s="779"/>
      <c r="AW3" s="779"/>
      <c r="AX3" s="779"/>
      <c r="AY3" s="779"/>
      <c r="AZ3" s="779"/>
      <c r="BA3" s="779"/>
      <c r="BB3" s="779"/>
      <c r="BC3" s="779"/>
      <c r="BD3" s="779"/>
      <c r="BE3" s="779"/>
      <c r="BF3" s="779"/>
      <c r="BG3" s="779"/>
      <c r="BH3" s="779"/>
      <c r="BI3" s="779"/>
      <c r="BJ3" s="779"/>
    </row>
    <row r="4" spans="1:62" s="107" customFormat="1" ht="11.25" customHeight="1" x14ac:dyDescent="0.25">
      <c r="A4" s="119"/>
      <c r="C4" s="694" t="s">
        <v>1429</v>
      </c>
      <c r="E4" s="77"/>
      <c r="F4" s="779"/>
      <c r="G4" s="779"/>
      <c r="H4" s="779"/>
      <c r="I4" s="779"/>
      <c r="J4" s="779"/>
      <c r="K4" s="779"/>
      <c r="L4" s="779"/>
      <c r="M4" s="779"/>
      <c r="N4" s="779"/>
      <c r="O4" s="779"/>
      <c r="P4" s="779"/>
      <c r="Q4" s="779"/>
      <c r="R4" s="779"/>
      <c r="S4" s="779"/>
      <c r="T4" s="779"/>
      <c r="U4" s="779"/>
      <c r="V4" s="779"/>
      <c r="W4" s="779"/>
      <c r="X4" s="779"/>
      <c r="Y4" s="779"/>
      <c r="Z4" s="779"/>
      <c r="AA4" s="779"/>
      <c r="AB4" s="779"/>
      <c r="AC4" s="779"/>
      <c r="AD4" s="779"/>
      <c r="AE4" s="779"/>
      <c r="AF4" s="779"/>
      <c r="AG4" s="779"/>
      <c r="AH4" s="779"/>
      <c r="AI4" s="779"/>
      <c r="AJ4" s="779"/>
      <c r="AK4" s="779"/>
      <c r="AL4" s="779"/>
      <c r="AM4" s="779"/>
      <c r="AN4" s="779"/>
      <c r="AO4" s="779"/>
      <c r="AP4" s="779"/>
      <c r="AQ4" s="779"/>
      <c r="AR4" s="779"/>
      <c r="AS4" s="779"/>
      <c r="AT4" s="779"/>
      <c r="AU4" s="779"/>
      <c r="AV4" s="779"/>
      <c r="AW4" s="779"/>
      <c r="AX4" s="779"/>
      <c r="AY4" s="779"/>
      <c r="AZ4" s="779"/>
      <c r="BA4" s="779"/>
      <c r="BB4" s="779"/>
      <c r="BC4" s="779"/>
      <c r="BD4" s="779"/>
      <c r="BE4" s="779"/>
      <c r="BF4" s="779"/>
      <c r="BG4" s="779"/>
      <c r="BH4" s="779"/>
      <c r="BI4" s="779"/>
      <c r="BJ4" s="779"/>
    </row>
    <row r="5" spans="1:62" s="107" customFormat="1" ht="18.75" customHeight="1" x14ac:dyDescent="0.25">
      <c r="A5" s="119" t="s">
        <v>1</v>
      </c>
      <c r="C5" s="124"/>
      <c r="F5" s="779"/>
      <c r="G5" s="779"/>
      <c r="H5" s="779"/>
      <c r="I5" s="779"/>
      <c r="J5" s="779"/>
      <c r="K5" s="779"/>
      <c r="L5" s="779"/>
      <c r="M5" s="779"/>
      <c r="N5" s="779"/>
      <c r="O5" s="779"/>
      <c r="P5" s="779"/>
      <c r="Q5" s="779"/>
      <c r="R5" s="779"/>
      <c r="S5" s="779"/>
      <c r="T5" s="779"/>
      <c r="U5" s="779"/>
      <c r="V5" s="779"/>
      <c r="W5" s="779"/>
      <c r="X5" s="779"/>
      <c r="Y5" s="779"/>
      <c r="Z5" s="779"/>
      <c r="AA5" s="779"/>
      <c r="AB5" s="779"/>
      <c r="AC5" s="779"/>
      <c r="AD5" s="779"/>
      <c r="AE5" s="779"/>
      <c r="AF5" s="779"/>
      <c r="AG5" s="779"/>
      <c r="AH5" s="779"/>
      <c r="AI5" s="779"/>
      <c r="AJ5" s="779"/>
      <c r="AK5" s="779"/>
      <c r="AL5" s="779"/>
      <c r="AM5" s="779"/>
      <c r="AN5" s="779"/>
      <c r="AO5" s="779"/>
      <c r="AP5" s="779"/>
      <c r="AQ5" s="779"/>
      <c r="AR5" s="779"/>
      <c r="AS5" s="779"/>
      <c r="AT5" s="779"/>
      <c r="AU5" s="779"/>
      <c r="AV5" s="779"/>
      <c r="AW5" s="779"/>
      <c r="AX5" s="779"/>
      <c r="AY5" s="779"/>
      <c r="AZ5" s="779"/>
      <c r="BA5" s="779"/>
      <c r="BB5" s="779"/>
      <c r="BC5" s="779"/>
      <c r="BD5" s="779"/>
      <c r="BE5" s="779"/>
      <c r="BF5" s="779"/>
      <c r="BG5" s="779"/>
      <c r="BH5" s="779"/>
      <c r="BI5" s="779"/>
      <c r="BJ5" s="779"/>
    </row>
    <row r="6" spans="1:62" s="107" customFormat="1" ht="12.75" customHeight="1" x14ac:dyDescent="0.25">
      <c r="A6" s="119"/>
      <c r="C6" s="694" t="s">
        <v>1430</v>
      </c>
      <c r="F6" s="779"/>
      <c r="G6" s="779"/>
      <c r="H6" s="779"/>
      <c r="I6" s="779"/>
      <c r="J6" s="779"/>
      <c r="K6" s="779"/>
      <c r="L6" s="779"/>
      <c r="M6" s="779"/>
      <c r="N6" s="779"/>
      <c r="O6" s="779"/>
      <c r="P6" s="779"/>
      <c r="Q6" s="779"/>
      <c r="R6" s="779"/>
      <c r="S6" s="779"/>
      <c r="T6" s="779"/>
      <c r="U6" s="779"/>
      <c r="V6" s="779"/>
      <c r="W6" s="779"/>
      <c r="X6" s="779"/>
      <c r="Y6" s="779"/>
      <c r="Z6" s="779"/>
      <c r="AA6" s="779"/>
      <c r="AB6" s="779"/>
      <c r="AC6" s="779"/>
      <c r="AD6" s="779"/>
      <c r="AE6" s="779"/>
      <c r="AF6" s="779"/>
      <c r="AG6" s="779"/>
      <c r="AH6" s="779"/>
      <c r="AI6" s="779"/>
      <c r="AJ6" s="779"/>
      <c r="AK6" s="779"/>
      <c r="AL6" s="779"/>
      <c r="AM6" s="779"/>
      <c r="AN6" s="779"/>
      <c r="AO6" s="779"/>
      <c r="AP6" s="779"/>
      <c r="AQ6" s="779"/>
      <c r="AR6" s="779"/>
      <c r="AS6" s="779"/>
      <c r="AT6" s="779"/>
      <c r="AU6" s="779"/>
      <c r="AV6" s="779"/>
      <c r="AW6" s="779"/>
      <c r="AX6" s="779"/>
      <c r="AY6" s="779"/>
      <c r="AZ6" s="779"/>
      <c r="BA6" s="779"/>
      <c r="BB6" s="779"/>
      <c r="BC6" s="779"/>
      <c r="BD6" s="779"/>
      <c r="BE6" s="779"/>
      <c r="BF6" s="779"/>
      <c r="BG6" s="779"/>
      <c r="BH6" s="779"/>
      <c r="BI6" s="779"/>
      <c r="BJ6" s="779"/>
    </row>
    <row r="7" spans="1:62" s="107" customFormat="1" ht="18.75" customHeight="1" x14ac:dyDescent="0.25">
      <c r="A7" s="107" t="s">
        <v>274</v>
      </c>
      <c r="C7" s="124"/>
      <c r="F7" s="779"/>
      <c r="G7" s="779"/>
      <c r="H7" s="779"/>
      <c r="I7" s="779"/>
      <c r="J7" s="779"/>
      <c r="K7" s="779"/>
      <c r="L7" s="779"/>
      <c r="M7" s="779"/>
      <c r="N7" s="779"/>
      <c r="O7" s="779"/>
      <c r="P7" s="779"/>
      <c r="Q7" s="779"/>
      <c r="R7" s="779"/>
      <c r="S7" s="779"/>
      <c r="T7" s="779"/>
      <c r="U7" s="779"/>
      <c r="V7" s="779"/>
      <c r="W7" s="779"/>
      <c r="X7" s="779"/>
      <c r="Y7" s="779"/>
      <c r="Z7" s="779"/>
      <c r="AA7" s="779"/>
      <c r="AB7" s="779"/>
      <c r="AC7" s="779"/>
      <c r="AD7" s="779"/>
      <c r="AE7" s="779"/>
      <c r="AF7" s="779"/>
      <c r="AG7" s="779"/>
      <c r="AH7" s="779"/>
      <c r="AI7" s="779"/>
      <c r="AJ7" s="779"/>
      <c r="AK7" s="779"/>
      <c r="AL7" s="779"/>
      <c r="AM7" s="779"/>
      <c r="AN7" s="779"/>
      <c r="AO7" s="779"/>
      <c r="AP7" s="779"/>
      <c r="AQ7" s="779"/>
      <c r="AR7" s="779"/>
      <c r="AS7" s="779"/>
      <c r="AT7" s="779"/>
      <c r="AU7" s="779"/>
      <c r="AV7" s="779"/>
      <c r="AW7" s="779"/>
      <c r="AX7" s="779"/>
      <c r="AY7" s="779"/>
      <c r="AZ7" s="779"/>
      <c r="BA7" s="779"/>
      <c r="BB7" s="779"/>
      <c r="BC7" s="779"/>
      <c r="BD7" s="779"/>
      <c r="BE7" s="779"/>
      <c r="BF7" s="779"/>
      <c r="BG7" s="779"/>
      <c r="BH7" s="779"/>
      <c r="BI7" s="779"/>
      <c r="BJ7" s="779"/>
    </row>
    <row r="8" spans="1:62" x14ac:dyDescent="0.2">
      <c r="C8" s="465" t="s">
        <v>1431</v>
      </c>
    </row>
    <row r="9" spans="1:62" ht="20.25" x14ac:dyDescent="0.3">
      <c r="A9" s="816" t="s">
        <v>188</v>
      </c>
      <c r="B9" s="816"/>
      <c r="C9" s="816"/>
      <c r="D9" s="816"/>
      <c r="E9" s="816"/>
    </row>
    <row r="10" spans="1:62" x14ac:dyDescent="0.2">
      <c r="A10" s="97" t="s">
        <v>136</v>
      </c>
      <c r="B10" s="817" t="s">
        <v>189</v>
      </c>
      <c r="C10" s="817"/>
      <c r="D10" s="97" t="s">
        <v>8</v>
      </c>
      <c r="E10" s="97" t="s">
        <v>3</v>
      </c>
    </row>
    <row r="11" spans="1:62" x14ac:dyDescent="0.2">
      <c r="A11" s="98">
        <v>1</v>
      </c>
      <c r="B11" s="818" t="s">
        <v>190</v>
      </c>
      <c r="C11" s="818"/>
      <c r="D11" s="531"/>
      <c r="E11" s="532"/>
    </row>
    <row r="12" spans="1:62" ht="25.5" x14ac:dyDescent="0.2">
      <c r="A12" s="98">
        <v>2</v>
      </c>
      <c r="B12" s="819" t="s">
        <v>191</v>
      </c>
      <c r="C12" s="819"/>
      <c r="D12" s="531"/>
      <c r="E12" s="533" t="s">
        <v>192</v>
      </c>
    </row>
    <row r="13" spans="1:62" ht="16.5" customHeight="1" x14ac:dyDescent="0.2">
      <c r="A13" s="821">
        <v>3</v>
      </c>
      <c r="B13" s="824" t="s">
        <v>193</v>
      </c>
      <c r="C13" s="825"/>
      <c r="D13" s="531"/>
      <c r="E13" s="532"/>
    </row>
    <row r="14" spans="1:62" x14ac:dyDescent="0.2">
      <c r="A14" s="822"/>
      <c r="B14" s="826" t="s">
        <v>194</v>
      </c>
      <c r="C14" s="826"/>
      <c r="D14" s="531"/>
      <c r="E14" s="820"/>
    </row>
    <row r="15" spans="1:62" x14ac:dyDescent="0.2">
      <c r="A15" s="822"/>
      <c r="B15" s="826" t="s">
        <v>195</v>
      </c>
      <c r="C15" s="826"/>
      <c r="D15" s="531"/>
      <c r="E15" s="820"/>
    </row>
    <row r="16" spans="1:62" x14ac:dyDescent="0.2">
      <c r="A16" s="822"/>
      <c r="B16" s="826" t="s">
        <v>196</v>
      </c>
      <c r="C16" s="826"/>
      <c r="D16" s="531"/>
      <c r="E16" s="820"/>
    </row>
    <row r="17" spans="1:5" x14ac:dyDescent="0.2">
      <c r="A17" s="822"/>
      <c r="B17" s="826" t="s">
        <v>197</v>
      </c>
      <c r="C17" s="826"/>
      <c r="D17" s="531"/>
      <c r="E17" s="820"/>
    </row>
    <row r="18" spans="1:5" x14ac:dyDescent="0.2">
      <c r="A18" s="823"/>
      <c r="B18" s="826" t="s">
        <v>198</v>
      </c>
      <c r="C18" s="826"/>
      <c r="D18" s="531"/>
      <c r="E18" s="820"/>
    </row>
    <row r="19" spans="1:5" x14ac:dyDescent="0.2">
      <c r="A19" s="821">
        <v>4</v>
      </c>
      <c r="B19" s="824" t="s">
        <v>201</v>
      </c>
      <c r="C19" s="825"/>
      <c r="D19" s="121">
        <f>D20+D21+D22</f>
        <v>0</v>
      </c>
      <c r="E19" s="820"/>
    </row>
    <row r="20" spans="1:5" ht="14.45" customHeight="1" x14ac:dyDescent="0.2">
      <c r="A20" s="822"/>
      <c r="B20" s="824" t="s">
        <v>181</v>
      </c>
      <c r="C20" s="825"/>
      <c r="D20" s="530"/>
      <c r="E20" s="820"/>
    </row>
    <row r="21" spans="1:5" x14ac:dyDescent="0.2">
      <c r="A21" s="822"/>
      <c r="B21" s="824" t="s">
        <v>183</v>
      </c>
      <c r="C21" s="825"/>
      <c r="D21" s="530"/>
      <c r="E21" s="820"/>
    </row>
    <row r="22" spans="1:5" x14ac:dyDescent="0.2">
      <c r="A22" s="823"/>
      <c r="B22" s="824" t="s">
        <v>185</v>
      </c>
      <c r="C22" s="825"/>
      <c r="D22" s="530"/>
      <c r="E22" s="820"/>
    </row>
    <row r="23" spans="1:5" ht="15.95" customHeight="1" x14ac:dyDescent="0.2">
      <c r="A23" s="821">
        <v>5</v>
      </c>
      <c r="B23" s="838" t="s">
        <v>202</v>
      </c>
      <c r="C23" s="839"/>
      <c r="D23" s="121">
        <f>D24+D25+D26</f>
        <v>0</v>
      </c>
      <c r="E23" s="820"/>
    </row>
    <row r="24" spans="1:5" x14ac:dyDescent="0.2">
      <c r="A24" s="822"/>
      <c r="B24" s="830" t="s">
        <v>181</v>
      </c>
      <c r="C24" s="831"/>
      <c r="D24" s="530"/>
      <c r="E24" s="820"/>
    </row>
    <row r="25" spans="1:5" x14ac:dyDescent="0.2">
      <c r="A25" s="822"/>
      <c r="B25" s="830" t="s">
        <v>183</v>
      </c>
      <c r="C25" s="831"/>
      <c r="D25" s="530"/>
      <c r="E25" s="820"/>
    </row>
    <row r="26" spans="1:5" x14ac:dyDescent="0.2">
      <c r="A26" s="823"/>
      <c r="B26" s="832" t="s">
        <v>185</v>
      </c>
      <c r="C26" s="833"/>
      <c r="D26" s="530"/>
      <c r="E26" s="820"/>
    </row>
    <row r="27" spans="1:5" x14ac:dyDescent="0.2">
      <c r="A27" s="821">
        <v>6</v>
      </c>
      <c r="B27" s="834" t="s">
        <v>203</v>
      </c>
      <c r="C27" s="835"/>
      <c r="D27" s="121">
        <f>D28+D29+D30</f>
        <v>0</v>
      </c>
      <c r="E27" s="820" t="s">
        <v>199</v>
      </c>
    </row>
    <row r="28" spans="1:5" x14ac:dyDescent="0.2">
      <c r="A28" s="822"/>
      <c r="B28" s="836" t="s">
        <v>181</v>
      </c>
      <c r="C28" s="837"/>
      <c r="D28" s="530"/>
      <c r="E28" s="820"/>
    </row>
    <row r="29" spans="1:5" x14ac:dyDescent="0.2">
      <c r="A29" s="822"/>
      <c r="B29" s="836" t="s">
        <v>183</v>
      </c>
      <c r="C29" s="837"/>
      <c r="D29" s="530"/>
      <c r="E29" s="820"/>
    </row>
    <row r="30" spans="1:5" ht="24" customHeight="1" x14ac:dyDescent="0.2">
      <c r="A30" s="823"/>
      <c r="B30" s="828" t="s">
        <v>185</v>
      </c>
      <c r="C30" s="829"/>
      <c r="D30" s="530"/>
      <c r="E30" s="820"/>
    </row>
    <row r="31" spans="1:5" x14ac:dyDescent="0.2">
      <c r="A31" s="63"/>
    </row>
    <row r="33" spans="1:10" x14ac:dyDescent="0.2">
      <c r="A33" s="13"/>
      <c r="B33" s="13"/>
      <c r="C33" s="4"/>
      <c r="D33" s="4"/>
      <c r="E33" s="4"/>
    </row>
    <row r="34" spans="1:10" x14ac:dyDescent="0.2">
      <c r="A34" s="13"/>
      <c r="B34" s="123" t="s">
        <v>173</v>
      </c>
      <c r="D34" s="122" t="s">
        <v>34</v>
      </c>
      <c r="E34" s="122"/>
      <c r="F34" s="781"/>
      <c r="G34" s="781"/>
      <c r="H34" s="781"/>
      <c r="I34" s="781"/>
      <c r="J34" s="781"/>
    </row>
    <row r="35" spans="1:10" x14ac:dyDescent="0.2">
      <c r="A35" s="13"/>
      <c r="B35" s="123"/>
      <c r="E35" s="122"/>
      <c r="F35" s="781"/>
      <c r="G35" s="781"/>
      <c r="H35" s="781"/>
      <c r="I35" s="781"/>
      <c r="J35" s="781"/>
    </row>
    <row r="36" spans="1:10" x14ac:dyDescent="0.2">
      <c r="A36" s="104"/>
      <c r="B36" s="123" t="s">
        <v>200</v>
      </c>
      <c r="C36" s="534"/>
      <c r="D36" s="122" t="s">
        <v>36</v>
      </c>
      <c r="E36" s="534"/>
      <c r="G36" s="781"/>
      <c r="H36" s="781"/>
      <c r="I36" s="781"/>
      <c r="J36" s="781"/>
    </row>
    <row r="37" spans="1:10" x14ac:dyDescent="0.2">
      <c r="C37" s="465" t="s">
        <v>1432</v>
      </c>
    </row>
  </sheetData>
  <sheetProtection algorithmName="SHA-512" hashValue="uzslzpuSS4ooOCEYxBu3AOEc1+g7Jo30p42s6gm2AJ9dF7B6rsVngVboGn3Uza1VxH615UhQBfqMtGUgkCynvA==" saltValue="KtoVNH1/phnAvOkTaP0UPQ==" spinCount="100000" sheet="1" objects="1" scenarios="1" selectLockedCells="1"/>
  <mergeCells count="29">
    <mergeCell ref="B1:E1"/>
    <mergeCell ref="B30:C30"/>
    <mergeCell ref="A23:A26"/>
    <mergeCell ref="A13:A18"/>
    <mergeCell ref="B24:C24"/>
    <mergeCell ref="B25:C25"/>
    <mergeCell ref="B26:C26"/>
    <mergeCell ref="B27:C27"/>
    <mergeCell ref="B28:C28"/>
    <mergeCell ref="B29:C29"/>
    <mergeCell ref="B20:C20"/>
    <mergeCell ref="B21:C21"/>
    <mergeCell ref="B22:C22"/>
    <mergeCell ref="B19:C19"/>
    <mergeCell ref="B23:C23"/>
    <mergeCell ref="A27:A30"/>
    <mergeCell ref="E27:E30"/>
    <mergeCell ref="B13:C13"/>
    <mergeCell ref="B14:C14"/>
    <mergeCell ref="B15:C15"/>
    <mergeCell ref="B16:C16"/>
    <mergeCell ref="B17:C17"/>
    <mergeCell ref="B18:C18"/>
    <mergeCell ref="A9:E9"/>
    <mergeCell ref="B10:C10"/>
    <mergeCell ref="B11:C11"/>
    <mergeCell ref="B12:C12"/>
    <mergeCell ref="E14:E26"/>
    <mergeCell ref="A19:A22"/>
  </mergeCells>
  <dataValidations count="1">
    <dataValidation type="decimal" allowBlank="1" showInputMessage="1" showErrorMessage="1" errorTitle="Анхаар" error="Зөвхөн тоо оруулна уу." sqref="D20:D22 D24:D26 D28:D30">
      <formula1>-9.99999999999999E+35</formula1>
      <formula2>9.99999999999999E+36</formula2>
    </dataValidation>
  </dataValidations>
  <pageMargins left="0.70866141732283472" right="0.39370078740157483" top="0.74803149606299213" bottom="0.74803149606299213" header="0.31496062992125984" footer="0.31496062992125984"/>
  <pageSetup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W41"/>
  <sheetViews>
    <sheetView showGridLines="0" topLeftCell="A4" zoomScaleNormal="100" workbookViewId="0">
      <selection activeCell="A11" sqref="A11:F11"/>
    </sheetView>
  </sheetViews>
  <sheetFormatPr defaultRowHeight="14.25" x14ac:dyDescent="0.2"/>
  <cols>
    <col min="1" max="1" width="8.7109375" style="120" customWidth="1"/>
    <col min="2" max="2" width="44.42578125" style="120" customWidth="1"/>
    <col min="3" max="3" width="9.140625" style="120"/>
    <col min="4" max="4" width="19.42578125" style="120" customWidth="1"/>
    <col min="5" max="5" width="17.7109375" style="120" customWidth="1"/>
    <col min="6" max="6" width="23.7109375" style="120" customWidth="1"/>
    <col min="7" max="14" width="9.140625" style="120"/>
    <col min="15" max="49" width="9.140625" style="117"/>
    <col min="50" max="16384" width="9.140625" style="120"/>
  </cols>
  <sheetData>
    <row r="1" spans="1:49" s="117" customFormat="1" ht="57" customHeight="1" x14ac:dyDescent="0.2">
      <c r="B1" s="42" t="s">
        <v>247</v>
      </c>
      <c r="C1" s="42"/>
      <c r="D1" s="42"/>
      <c r="F1" s="762" t="s">
        <v>291</v>
      </c>
      <c r="H1" s="42"/>
      <c r="I1" s="42"/>
      <c r="J1" s="42"/>
      <c r="K1" s="42"/>
      <c r="L1" s="42"/>
      <c r="M1" s="42"/>
      <c r="N1" s="42"/>
      <c r="O1" s="42"/>
      <c r="P1" s="42"/>
      <c r="Q1" s="42"/>
      <c r="R1" s="50"/>
    </row>
    <row r="2" spans="1:49" s="107" customFormat="1" ht="15.75" customHeight="1" x14ac:dyDescent="0.25">
      <c r="A2" s="1"/>
      <c r="O2" s="760"/>
      <c r="P2" s="760"/>
      <c r="Q2" s="760"/>
      <c r="R2" s="760"/>
      <c r="S2" s="760"/>
      <c r="T2" s="760"/>
      <c r="U2" s="760"/>
      <c r="V2" s="760"/>
      <c r="W2" s="760"/>
      <c r="X2" s="760"/>
      <c r="Y2" s="760"/>
      <c r="Z2" s="760"/>
      <c r="AA2" s="760"/>
      <c r="AB2" s="760"/>
      <c r="AC2" s="760"/>
      <c r="AD2" s="760"/>
      <c r="AE2" s="760"/>
      <c r="AF2" s="760"/>
      <c r="AG2" s="760"/>
      <c r="AH2" s="760"/>
      <c r="AI2" s="760"/>
      <c r="AJ2" s="760"/>
      <c r="AK2" s="760"/>
      <c r="AL2" s="760"/>
      <c r="AM2" s="760"/>
      <c r="AN2" s="760"/>
      <c r="AO2" s="760"/>
      <c r="AP2" s="760"/>
      <c r="AQ2" s="760"/>
      <c r="AR2" s="760"/>
      <c r="AS2" s="760"/>
      <c r="AT2" s="760"/>
      <c r="AU2" s="760"/>
      <c r="AV2" s="760"/>
      <c r="AW2" s="760"/>
    </row>
    <row r="3" spans="1:49" s="559" customFormat="1" ht="20.100000000000001" customHeight="1" x14ac:dyDescent="0.25">
      <c r="A3" s="107" t="s">
        <v>0</v>
      </c>
      <c r="B3" s="107"/>
      <c r="C3" s="847"/>
      <c r="D3" s="847"/>
      <c r="E3" s="716"/>
      <c r="F3" s="716"/>
      <c r="O3" s="761"/>
      <c r="P3" s="761"/>
      <c r="Q3" s="761"/>
      <c r="R3" s="761"/>
      <c r="S3" s="761"/>
      <c r="T3" s="761"/>
      <c r="U3" s="761"/>
      <c r="V3" s="761"/>
      <c r="W3" s="761"/>
      <c r="X3" s="761"/>
      <c r="Y3" s="761"/>
      <c r="Z3" s="761"/>
      <c r="AA3" s="761"/>
      <c r="AB3" s="761"/>
      <c r="AC3" s="761"/>
      <c r="AD3" s="761"/>
      <c r="AE3" s="761"/>
      <c r="AF3" s="761"/>
      <c r="AG3" s="761"/>
      <c r="AH3" s="761"/>
      <c r="AI3" s="761"/>
      <c r="AJ3" s="761"/>
      <c r="AK3" s="761"/>
      <c r="AL3" s="761"/>
      <c r="AM3" s="761"/>
      <c r="AN3" s="761"/>
      <c r="AO3" s="761"/>
      <c r="AP3" s="761"/>
      <c r="AQ3" s="761"/>
      <c r="AR3" s="761"/>
      <c r="AS3" s="761"/>
      <c r="AT3" s="761"/>
      <c r="AU3" s="761"/>
      <c r="AV3" s="761"/>
      <c r="AW3" s="761"/>
    </row>
    <row r="4" spans="1:49" s="559" customFormat="1" ht="11.25" customHeight="1" x14ac:dyDescent="0.25">
      <c r="A4" s="107"/>
      <c r="B4" s="107"/>
      <c r="C4" s="846" t="s">
        <v>1429</v>
      </c>
      <c r="D4" s="846"/>
      <c r="E4" s="716"/>
      <c r="F4" s="716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A4" s="761"/>
      <c r="AB4" s="761"/>
      <c r="AC4" s="761"/>
      <c r="AD4" s="761"/>
      <c r="AE4" s="761"/>
      <c r="AF4" s="761"/>
      <c r="AG4" s="761"/>
      <c r="AH4" s="761"/>
      <c r="AI4" s="761"/>
      <c r="AJ4" s="761"/>
      <c r="AK4" s="761"/>
      <c r="AL4" s="761"/>
      <c r="AM4" s="761"/>
      <c r="AN4" s="761"/>
      <c r="AO4" s="761"/>
      <c r="AP4" s="761"/>
      <c r="AQ4" s="761"/>
      <c r="AR4" s="761"/>
      <c r="AS4" s="761"/>
      <c r="AT4" s="761"/>
      <c r="AU4" s="761"/>
      <c r="AV4" s="761"/>
      <c r="AW4" s="761"/>
    </row>
    <row r="5" spans="1:49" s="559" customFormat="1" ht="20.100000000000001" customHeight="1" x14ac:dyDescent="0.25">
      <c r="A5" s="107" t="s">
        <v>1</v>
      </c>
      <c r="B5" s="107"/>
      <c r="C5" s="847"/>
      <c r="D5" s="847"/>
      <c r="E5" s="716"/>
      <c r="F5" s="716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A5" s="761"/>
      <c r="AB5" s="761"/>
      <c r="AC5" s="761"/>
      <c r="AD5" s="761"/>
      <c r="AE5" s="761"/>
      <c r="AF5" s="761"/>
      <c r="AG5" s="761"/>
      <c r="AH5" s="761"/>
      <c r="AI5" s="761"/>
      <c r="AJ5" s="761"/>
      <c r="AK5" s="761"/>
      <c r="AL5" s="761"/>
      <c r="AM5" s="761"/>
      <c r="AN5" s="761"/>
      <c r="AO5" s="761"/>
      <c r="AP5" s="761"/>
      <c r="AQ5" s="761"/>
      <c r="AR5" s="761"/>
      <c r="AS5" s="761"/>
      <c r="AT5" s="761"/>
      <c r="AU5" s="761"/>
      <c r="AV5" s="761"/>
      <c r="AW5" s="761"/>
    </row>
    <row r="6" spans="1:49" s="559" customFormat="1" ht="10.5" customHeight="1" x14ac:dyDescent="0.25">
      <c r="A6" s="107"/>
      <c r="B6" s="107"/>
      <c r="C6" s="846" t="s">
        <v>1430</v>
      </c>
      <c r="D6" s="846"/>
      <c r="E6" s="716"/>
      <c r="F6" s="716"/>
      <c r="O6" s="761"/>
      <c r="P6" s="761"/>
      <c r="Q6" s="761"/>
      <c r="R6" s="761"/>
      <c r="S6" s="761"/>
      <c r="T6" s="761"/>
      <c r="U6" s="761"/>
      <c r="V6" s="761"/>
      <c r="W6" s="761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  <c r="AS6" s="761"/>
      <c r="AT6" s="761"/>
      <c r="AU6" s="761"/>
      <c r="AV6" s="761"/>
      <c r="AW6" s="761"/>
    </row>
    <row r="7" spans="1:49" s="559" customFormat="1" ht="20.100000000000001" customHeight="1" x14ac:dyDescent="0.25">
      <c r="A7" s="107" t="s">
        <v>283</v>
      </c>
      <c r="C7" s="847"/>
      <c r="D7" s="847"/>
      <c r="O7" s="761"/>
      <c r="P7" s="761"/>
      <c r="Q7" s="761"/>
      <c r="R7" s="761"/>
      <c r="S7" s="761"/>
      <c r="T7" s="761"/>
      <c r="U7" s="761"/>
      <c r="V7" s="761"/>
      <c r="W7" s="761"/>
      <c r="X7" s="761"/>
      <c r="Y7" s="761"/>
      <c r="Z7" s="761"/>
      <c r="AA7" s="761"/>
      <c r="AB7" s="761"/>
      <c r="AC7" s="761"/>
      <c r="AD7" s="761"/>
      <c r="AE7" s="761"/>
      <c r="AF7" s="761"/>
      <c r="AG7" s="761"/>
      <c r="AH7" s="761"/>
      <c r="AI7" s="761"/>
      <c r="AJ7" s="761"/>
      <c r="AK7" s="761"/>
      <c r="AL7" s="761"/>
      <c r="AM7" s="761"/>
      <c r="AN7" s="761"/>
      <c r="AO7" s="761"/>
      <c r="AP7" s="761"/>
      <c r="AQ7" s="761"/>
      <c r="AR7" s="761"/>
      <c r="AS7" s="761"/>
      <c r="AT7" s="761"/>
      <c r="AU7" s="761"/>
      <c r="AV7" s="761"/>
      <c r="AW7" s="761"/>
    </row>
    <row r="8" spans="1:49" s="559" customFormat="1" ht="20.100000000000001" customHeight="1" x14ac:dyDescent="0.25">
      <c r="A8" s="107"/>
      <c r="C8" s="846" t="s">
        <v>1431</v>
      </c>
      <c r="D8" s="846"/>
      <c r="O8" s="761"/>
      <c r="P8" s="761"/>
      <c r="Q8" s="761"/>
      <c r="R8" s="761"/>
      <c r="S8" s="761"/>
      <c r="T8" s="761"/>
      <c r="U8" s="761"/>
      <c r="V8" s="761"/>
      <c r="W8" s="761"/>
      <c r="X8" s="761"/>
      <c r="Y8" s="761"/>
      <c r="Z8" s="761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761"/>
      <c r="AQ8" s="761"/>
      <c r="AR8" s="761"/>
      <c r="AS8" s="761"/>
      <c r="AT8" s="761"/>
      <c r="AU8" s="761"/>
      <c r="AV8" s="761"/>
      <c r="AW8" s="761"/>
    </row>
    <row r="9" spans="1:49" s="559" customFormat="1" ht="15.75" x14ac:dyDescent="0.25">
      <c r="A9" s="107"/>
      <c r="C9" s="143"/>
      <c r="D9" s="143"/>
      <c r="O9" s="761"/>
      <c r="P9" s="761"/>
      <c r="Q9" s="761"/>
      <c r="R9" s="761"/>
      <c r="S9" s="761"/>
      <c r="T9" s="761"/>
      <c r="U9" s="761"/>
      <c r="V9" s="761"/>
      <c r="W9" s="761"/>
      <c r="X9" s="761"/>
      <c r="Y9" s="761"/>
      <c r="Z9" s="761"/>
      <c r="AA9" s="761"/>
      <c r="AB9" s="761"/>
      <c r="AC9" s="761"/>
      <c r="AD9" s="761"/>
      <c r="AE9" s="761"/>
      <c r="AF9" s="761"/>
      <c r="AG9" s="761"/>
      <c r="AH9" s="761"/>
      <c r="AI9" s="761"/>
      <c r="AJ9" s="761"/>
      <c r="AK9" s="761"/>
      <c r="AL9" s="761"/>
      <c r="AM9" s="761"/>
      <c r="AN9" s="761"/>
      <c r="AO9" s="761"/>
      <c r="AP9" s="761"/>
      <c r="AQ9" s="761"/>
      <c r="AR9" s="761"/>
      <c r="AS9" s="761"/>
      <c r="AT9" s="761"/>
      <c r="AU9" s="761"/>
      <c r="AV9" s="761"/>
      <c r="AW9" s="761"/>
    </row>
    <row r="10" spans="1:49" ht="20.25" x14ac:dyDescent="0.3">
      <c r="A10" s="841" t="s">
        <v>243</v>
      </c>
      <c r="B10" s="841"/>
      <c r="C10" s="841"/>
      <c r="D10" s="841"/>
      <c r="E10" s="841"/>
      <c r="F10" s="841"/>
    </row>
    <row r="11" spans="1:49" ht="28.5" customHeight="1" x14ac:dyDescent="0.2">
      <c r="A11" s="842" t="s">
        <v>208</v>
      </c>
      <c r="B11" s="842"/>
      <c r="C11" s="842"/>
      <c r="D11" s="842"/>
      <c r="E11" s="842"/>
      <c r="F11" s="842"/>
    </row>
    <row r="12" spans="1:49" x14ac:dyDescent="0.2">
      <c r="A12" s="840" t="s">
        <v>2</v>
      </c>
      <c r="B12" s="840" t="s">
        <v>8</v>
      </c>
      <c r="C12" s="840" t="s">
        <v>10</v>
      </c>
      <c r="D12" s="654" t="s">
        <v>209</v>
      </c>
      <c r="E12" s="654" t="s">
        <v>209</v>
      </c>
      <c r="F12" s="843" t="s">
        <v>3</v>
      </c>
    </row>
    <row r="13" spans="1:49" x14ac:dyDescent="0.2">
      <c r="A13" s="840"/>
      <c r="B13" s="840"/>
      <c r="C13" s="840"/>
      <c r="D13" s="535" t="s">
        <v>210</v>
      </c>
      <c r="E13" s="535" t="s">
        <v>211</v>
      </c>
      <c r="F13" s="844"/>
    </row>
    <row r="14" spans="1:49" x14ac:dyDescent="0.2">
      <c r="A14" s="714">
        <v>1</v>
      </c>
      <c r="B14" s="78" t="s">
        <v>212</v>
      </c>
      <c r="C14" s="714"/>
      <c r="D14" s="538"/>
      <c r="E14" s="538"/>
      <c r="F14" s="661"/>
    </row>
    <row r="15" spans="1:49" x14ac:dyDescent="0.2">
      <c r="A15" s="714">
        <v>2</v>
      </c>
      <c r="B15" s="78" t="s">
        <v>213</v>
      </c>
      <c r="C15" s="714"/>
      <c r="D15" s="538"/>
      <c r="E15" s="538"/>
      <c r="F15" s="661"/>
    </row>
    <row r="16" spans="1:49" x14ac:dyDescent="0.2">
      <c r="A16" s="714">
        <v>3</v>
      </c>
      <c r="B16" s="851" t="s">
        <v>214</v>
      </c>
      <c r="C16" s="851"/>
      <c r="D16" s="851"/>
      <c r="E16" s="851"/>
      <c r="F16" s="720"/>
    </row>
    <row r="17" spans="1:6" x14ac:dyDescent="0.2">
      <c r="A17" s="106">
        <v>3.1</v>
      </c>
      <c r="B17" s="78" t="s">
        <v>215</v>
      </c>
      <c r="C17" s="714" t="s">
        <v>216</v>
      </c>
      <c r="D17" s="537"/>
      <c r="E17" s="537"/>
      <c r="F17" s="661"/>
    </row>
    <row r="18" spans="1:6" ht="24" x14ac:dyDescent="0.2">
      <c r="A18" s="106">
        <v>3.2</v>
      </c>
      <c r="B18" s="78" t="s">
        <v>217</v>
      </c>
      <c r="C18" s="714" t="s">
        <v>216</v>
      </c>
      <c r="D18" s="537"/>
      <c r="E18" s="537"/>
      <c r="F18" s="661"/>
    </row>
    <row r="19" spans="1:6" x14ac:dyDescent="0.2">
      <c r="A19" s="106">
        <v>3.3</v>
      </c>
      <c r="B19" s="78" t="s">
        <v>218</v>
      </c>
      <c r="C19" s="714" t="s">
        <v>216</v>
      </c>
      <c r="D19" s="537"/>
      <c r="E19" s="537"/>
      <c r="F19" s="661"/>
    </row>
    <row r="20" spans="1:6" x14ac:dyDescent="0.2">
      <c r="A20" s="106">
        <v>3.4</v>
      </c>
      <c r="B20" s="78" t="s">
        <v>219</v>
      </c>
      <c r="C20" s="714" t="s">
        <v>216</v>
      </c>
      <c r="D20" s="537"/>
      <c r="E20" s="537"/>
      <c r="F20" s="661"/>
    </row>
    <row r="21" spans="1:6" x14ac:dyDescent="0.2">
      <c r="A21" s="106">
        <v>3.5</v>
      </c>
      <c r="B21" s="78" t="s">
        <v>220</v>
      </c>
      <c r="C21" s="714" t="s">
        <v>216</v>
      </c>
      <c r="D21" s="537"/>
      <c r="E21" s="537"/>
      <c r="F21" s="661"/>
    </row>
    <row r="22" spans="1:6" x14ac:dyDescent="0.2">
      <c r="A22" s="106">
        <v>3.6</v>
      </c>
      <c r="B22" s="78" t="s">
        <v>221</v>
      </c>
      <c r="C22" s="714" t="s">
        <v>216</v>
      </c>
      <c r="D22" s="537"/>
      <c r="E22" s="537"/>
      <c r="F22" s="661"/>
    </row>
    <row r="23" spans="1:6" x14ac:dyDescent="0.2">
      <c r="A23" s="106">
        <v>3.7</v>
      </c>
      <c r="B23" s="78" t="s">
        <v>222</v>
      </c>
      <c r="C23" s="714" t="s">
        <v>216</v>
      </c>
      <c r="D23" s="537"/>
      <c r="E23" s="537"/>
      <c r="F23" s="661"/>
    </row>
    <row r="24" spans="1:6" x14ac:dyDescent="0.2">
      <c r="A24" s="106">
        <v>3.8</v>
      </c>
      <c r="B24" s="78" t="s">
        <v>223</v>
      </c>
      <c r="C24" s="714" t="s">
        <v>216</v>
      </c>
      <c r="D24" s="537"/>
      <c r="E24" s="537"/>
      <c r="F24" s="661"/>
    </row>
    <row r="25" spans="1:6" x14ac:dyDescent="0.2">
      <c r="A25" s="106">
        <v>3.9</v>
      </c>
      <c r="B25" s="78" t="s">
        <v>224</v>
      </c>
      <c r="C25" s="714" t="s">
        <v>244</v>
      </c>
      <c r="D25" s="537"/>
      <c r="E25" s="537"/>
      <c r="F25" s="661"/>
    </row>
    <row r="26" spans="1:6" x14ac:dyDescent="0.2">
      <c r="A26" s="714">
        <v>4</v>
      </c>
      <c r="B26" s="848" t="s">
        <v>225</v>
      </c>
      <c r="C26" s="849"/>
      <c r="D26" s="849"/>
      <c r="E26" s="850"/>
      <c r="F26" s="720"/>
    </row>
    <row r="27" spans="1:6" x14ac:dyDescent="0.2">
      <c r="A27" s="714">
        <v>4.0999999999999996</v>
      </c>
      <c r="B27" s="78" t="s">
        <v>226</v>
      </c>
      <c r="C27" s="714" t="s">
        <v>216</v>
      </c>
      <c r="D27" s="537"/>
      <c r="E27" s="537"/>
      <c r="F27" s="661"/>
    </row>
    <row r="28" spans="1:6" x14ac:dyDescent="0.2">
      <c r="A28" s="106" t="s">
        <v>279</v>
      </c>
      <c r="B28" s="108" t="s">
        <v>285</v>
      </c>
      <c r="C28" s="714" t="s">
        <v>98</v>
      </c>
      <c r="D28" s="537"/>
      <c r="E28" s="537"/>
      <c r="F28" s="661"/>
    </row>
    <row r="29" spans="1:6" x14ac:dyDescent="0.2">
      <c r="A29" s="106" t="s">
        <v>280</v>
      </c>
      <c r="B29" s="108" t="s">
        <v>284</v>
      </c>
      <c r="C29" s="714" t="s">
        <v>98</v>
      </c>
      <c r="D29" s="537"/>
      <c r="E29" s="537"/>
      <c r="F29" s="661"/>
    </row>
    <row r="30" spans="1:6" x14ac:dyDescent="0.2">
      <c r="A30" s="714">
        <v>4.2</v>
      </c>
      <c r="B30" s="78" t="s">
        <v>227</v>
      </c>
      <c r="C30" s="714" t="s">
        <v>216</v>
      </c>
      <c r="D30" s="537"/>
      <c r="E30" s="537"/>
      <c r="F30" s="661"/>
    </row>
    <row r="31" spans="1:6" x14ac:dyDescent="0.2">
      <c r="A31" s="714">
        <v>4.3</v>
      </c>
      <c r="B31" s="78" t="s">
        <v>228</v>
      </c>
      <c r="C31" s="714" t="s">
        <v>216</v>
      </c>
      <c r="D31" s="537"/>
      <c r="E31" s="537"/>
      <c r="F31" s="661"/>
    </row>
    <row r="32" spans="1:6" x14ac:dyDescent="0.2">
      <c r="A32" s="714">
        <v>4.4000000000000004</v>
      </c>
      <c r="B32" s="78" t="s">
        <v>229</v>
      </c>
      <c r="C32" s="714" t="s">
        <v>216</v>
      </c>
      <c r="D32" s="537"/>
      <c r="E32" s="537"/>
      <c r="F32" s="661"/>
    </row>
    <row r="33" spans="1:9" x14ac:dyDescent="0.2">
      <c r="A33" s="714">
        <v>4.5</v>
      </c>
      <c r="B33" s="78" t="s">
        <v>230</v>
      </c>
      <c r="C33" s="714" t="s">
        <v>216</v>
      </c>
      <c r="D33" s="537"/>
      <c r="E33" s="537"/>
      <c r="F33" s="661"/>
    </row>
    <row r="34" spans="1:9" x14ac:dyDescent="0.2">
      <c r="A34" s="106" t="s">
        <v>281</v>
      </c>
      <c r="B34" s="78" t="s">
        <v>245</v>
      </c>
      <c r="C34" s="714" t="s">
        <v>98</v>
      </c>
      <c r="D34" s="537"/>
      <c r="E34" s="537"/>
      <c r="F34" s="661"/>
    </row>
    <row r="35" spans="1:9" x14ac:dyDescent="0.2">
      <c r="A35" s="106" t="s">
        <v>282</v>
      </c>
      <c r="B35" s="78" t="s">
        <v>246</v>
      </c>
      <c r="C35" s="714" t="s">
        <v>98</v>
      </c>
      <c r="D35" s="537"/>
      <c r="E35" s="537"/>
      <c r="F35" s="661"/>
    </row>
    <row r="36" spans="1:9" x14ac:dyDescent="0.2">
      <c r="A36" s="717"/>
    </row>
    <row r="37" spans="1:9" x14ac:dyDescent="0.2">
      <c r="A37" s="718" t="s">
        <v>231</v>
      </c>
      <c r="B37" s="123" t="s">
        <v>173</v>
      </c>
      <c r="D37" s="123"/>
      <c r="E37" s="123" t="s">
        <v>241</v>
      </c>
      <c r="F37" s="123"/>
      <c r="G37" s="123"/>
      <c r="H37" s="123"/>
      <c r="I37" s="123"/>
    </row>
    <row r="38" spans="1:9" x14ac:dyDescent="0.2">
      <c r="A38" s="718"/>
      <c r="B38" s="123"/>
      <c r="D38" s="123"/>
      <c r="E38" s="123"/>
      <c r="F38" s="123"/>
      <c r="G38" s="123"/>
      <c r="H38" s="123"/>
      <c r="I38" s="123"/>
    </row>
    <row r="39" spans="1:9" ht="15" x14ac:dyDescent="0.2">
      <c r="A39" s="719"/>
      <c r="B39" s="123" t="s">
        <v>240</v>
      </c>
      <c r="C39" s="845"/>
      <c r="D39" s="845"/>
      <c r="E39" s="123" t="s">
        <v>36</v>
      </c>
      <c r="F39" s="123"/>
      <c r="G39" s="123"/>
      <c r="H39" s="123"/>
      <c r="I39" s="123"/>
    </row>
    <row r="40" spans="1:9" ht="15" x14ac:dyDescent="0.2">
      <c r="A40" s="719"/>
      <c r="B40" s="123"/>
      <c r="C40" s="123"/>
      <c r="E40" s="715"/>
      <c r="F40" s="123"/>
      <c r="G40" s="123"/>
      <c r="H40" s="123"/>
      <c r="I40" s="123"/>
    </row>
    <row r="41" spans="1:9" x14ac:dyDescent="0.2">
      <c r="B41" s="120" t="s">
        <v>242</v>
      </c>
      <c r="C41" s="845"/>
      <c r="D41" s="845"/>
    </row>
  </sheetData>
  <sheetProtection algorithmName="SHA-512" hashValue="H8n+be6Dy70PJBPqnP80mSLCf9/PBxQ0yNTS2j37AjmvspRxUHnHTJXjCcoCQdrAPmTZVoldU86/j7dnYMh8aQ==" saltValue="PBGnNuJHKGap9UCjy0Ve2Q==" spinCount="100000" sheet="1" selectLockedCells="1"/>
  <mergeCells count="16">
    <mergeCell ref="C39:D39"/>
    <mergeCell ref="C41:D41"/>
    <mergeCell ref="C8:D8"/>
    <mergeCell ref="C3:D3"/>
    <mergeCell ref="C5:D5"/>
    <mergeCell ref="C7:D7"/>
    <mergeCell ref="C4:D4"/>
    <mergeCell ref="C6:D6"/>
    <mergeCell ref="B26:E26"/>
    <mergeCell ref="B16:E16"/>
    <mergeCell ref="A12:A13"/>
    <mergeCell ref="B12:B13"/>
    <mergeCell ref="A10:F10"/>
    <mergeCell ref="A11:F11"/>
    <mergeCell ref="F12:F13"/>
    <mergeCell ref="C12:C13"/>
  </mergeCells>
  <dataValidations count="1">
    <dataValidation type="decimal" allowBlank="1" showInputMessage="1" showErrorMessage="1" errorTitle="Анхаар" error="Зөвхөн тоо оруулна уу." sqref="D17:E25 D27:E35">
      <formula1>-9.99999999999999E+34</formula1>
      <formula2>9.99999999999999E+35</formula2>
    </dataValidation>
  </dataValidations>
  <pageMargins left="0.99" right="0.24" top="0.74803149606299213" bottom="0.4" header="0.31496062992125984" footer="0.31496062992125984"/>
  <pageSetup scale="42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36"/>
  <sheetViews>
    <sheetView showGridLines="0" topLeftCell="A7" workbookViewId="0">
      <selection activeCell="E20" sqref="E20"/>
    </sheetView>
  </sheetViews>
  <sheetFormatPr defaultRowHeight="15" x14ac:dyDescent="0.25"/>
  <cols>
    <col min="1" max="1" width="4.28515625" style="725" customWidth="1"/>
    <col min="2" max="2" width="9.140625" style="725" customWidth="1"/>
    <col min="3" max="3" width="4.28515625" style="725" customWidth="1"/>
    <col min="4" max="17" width="14.140625" style="725" customWidth="1"/>
    <col min="18" max="16384" width="9.140625" style="725"/>
  </cols>
  <sheetData>
    <row r="1" spans="1:23" ht="74.25" customHeight="1" x14ac:dyDescent="0.25">
      <c r="A1" s="36"/>
      <c r="B1" s="861" t="s">
        <v>251</v>
      </c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42"/>
      <c r="P1" s="42"/>
      <c r="Q1" s="724" t="s">
        <v>1442</v>
      </c>
      <c r="R1" s="724"/>
    </row>
    <row r="2" spans="1:23" x14ac:dyDescent="0.25">
      <c r="D2" s="726" t="s">
        <v>232</v>
      </c>
      <c r="E2" s="726"/>
      <c r="F2" s="726"/>
      <c r="G2" s="726"/>
      <c r="H2" s="726"/>
      <c r="I2" s="727"/>
      <c r="J2" s="727"/>
      <c r="K2" s="727"/>
      <c r="L2" s="727"/>
      <c r="M2" s="728"/>
      <c r="N2" s="729"/>
      <c r="O2" s="729"/>
      <c r="P2" s="729"/>
      <c r="Q2" s="729"/>
    </row>
    <row r="3" spans="1:23" x14ac:dyDescent="0.25">
      <c r="D3" s="727"/>
      <c r="E3" s="726"/>
      <c r="G3" s="730"/>
      <c r="H3" s="730"/>
      <c r="I3" s="731"/>
      <c r="J3" s="731"/>
      <c r="K3" s="731"/>
      <c r="L3" s="732"/>
      <c r="M3" s="732"/>
      <c r="N3" s="732"/>
      <c r="O3" s="732"/>
      <c r="P3" s="729"/>
      <c r="Q3" s="729"/>
    </row>
    <row r="4" spans="1:23" x14ac:dyDescent="0.25">
      <c r="B4" s="471" t="s">
        <v>0</v>
      </c>
      <c r="D4" s="727"/>
      <c r="E4" s="726"/>
      <c r="F4" s="859"/>
      <c r="G4" s="859"/>
      <c r="H4" s="730"/>
      <c r="I4" s="731"/>
      <c r="J4" s="731"/>
      <c r="K4" s="731"/>
      <c r="L4" s="733" t="s">
        <v>1429</v>
      </c>
      <c r="M4" s="733"/>
      <c r="N4" s="733"/>
      <c r="O4" s="733"/>
      <c r="P4" s="729"/>
      <c r="Q4" s="729"/>
    </row>
    <row r="5" spans="1:23" x14ac:dyDescent="0.25">
      <c r="B5" s="730"/>
      <c r="D5" s="727"/>
      <c r="E5" s="727"/>
      <c r="F5" s="885" t="s">
        <v>1429</v>
      </c>
      <c r="G5" s="885"/>
      <c r="H5" s="731"/>
      <c r="I5" s="731"/>
      <c r="J5" s="731"/>
      <c r="K5" s="731"/>
      <c r="L5" s="732"/>
      <c r="M5" s="732"/>
      <c r="N5" s="732"/>
      <c r="O5" s="732"/>
      <c r="P5" s="727"/>
      <c r="Q5" s="727"/>
    </row>
    <row r="6" spans="1:23" x14ac:dyDescent="0.25">
      <c r="B6" s="471" t="s">
        <v>1</v>
      </c>
      <c r="D6" s="727"/>
      <c r="E6" s="727"/>
      <c r="F6" s="859"/>
      <c r="G6" s="859"/>
      <c r="H6" s="731"/>
      <c r="I6" s="731"/>
      <c r="J6" s="731"/>
      <c r="K6" s="731"/>
      <c r="L6" s="733" t="s">
        <v>1430</v>
      </c>
      <c r="M6" s="733"/>
      <c r="N6" s="733"/>
      <c r="O6" s="733"/>
      <c r="P6" s="727"/>
      <c r="Q6" s="727"/>
    </row>
    <row r="7" spans="1:23" x14ac:dyDescent="0.25">
      <c r="B7" s="730"/>
      <c r="D7" s="727"/>
      <c r="E7" s="409"/>
      <c r="F7" s="885" t="s">
        <v>1430</v>
      </c>
      <c r="G7" s="885"/>
      <c r="H7" s="409"/>
      <c r="I7" s="727"/>
      <c r="J7" s="727"/>
      <c r="K7" s="727"/>
      <c r="L7" s="732"/>
      <c r="M7" s="732"/>
      <c r="N7" s="732"/>
      <c r="O7" s="732"/>
      <c r="P7" s="727"/>
      <c r="Q7" s="727"/>
    </row>
    <row r="8" spans="1:23" x14ac:dyDescent="0.25">
      <c r="B8" s="409" t="s">
        <v>1433</v>
      </c>
      <c r="D8" s="727"/>
      <c r="E8" s="409"/>
      <c r="F8" s="860"/>
      <c r="G8" s="860"/>
      <c r="H8" s="409"/>
      <c r="I8" s="727"/>
      <c r="J8" s="727"/>
      <c r="K8" s="727"/>
      <c r="L8" s="734" t="s">
        <v>1431</v>
      </c>
      <c r="M8" s="734"/>
      <c r="N8" s="734"/>
      <c r="O8" s="734"/>
      <c r="P8" s="727"/>
      <c r="Q8" s="727"/>
    </row>
    <row r="9" spans="1:23" x14ac:dyDescent="0.25">
      <c r="D9" s="727"/>
      <c r="E9" s="409"/>
      <c r="F9" s="886" t="s">
        <v>1431</v>
      </c>
      <c r="G9" s="886"/>
      <c r="H9" s="409"/>
      <c r="I9" s="727"/>
      <c r="J9" s="727"/>
      <c r="K9" s="727"/>
      <c r="L9" s="727"/>
      <c r="M9" s="735"/>
      <c r="N9" s="735"/>
      <c r="O9" s="727"/>
      <c r="P9" s="727"/>
      <c r="Q9" s="727"/>
    </row>
    <row r="10" spans="1:23" ht="20.25" x14ac:dyDescent="0.3">
      <c r="B10" s="736"/>
      <c r="C10" s="736"/>
      <c r="D10" s="727"/>
      <c r="E10" s="737"/>
      <c r="F10" s="737"/>
      <c r="G10" s="737"/>
      <c r="H10" s="738" t="s">
        <v>249</v>
      </c>
      <c r="I10" s="737"/>
      <c r="J10" s="737"/>
      <c r="K10" s="737"/>
      <c r="L10" s="737"/>
      <c r="M10" s="737"/>
      <c r="N10" s="737"/>
      <c r="O10" s="737"/>
      <c r="P10" s="737"/>
      <c r="Q10" s="737"/>
      <c r="R10" s="739"/>
      <c r="S10" s="739"/>
      <c r="T10" s="739"/>
      <c r="U10" s="739"/>
      <c r="V10" s="739"/>
      <c r="W10" s="739"/>
    </row>
    <row r="11" spans="1:23" x14ac:dyDescent="0.25">
      <c r="D11" s="727"/>
      <c r="E11" s="727"/>
      <c r="F11" s="727"/>
      <c r="G11" s="727"/>
      <c r="H11" s="727"/>
      <c r="I11" s="727"/>
      <c r="J11" s="727"/>
      <c r="K11" s="727"/>
      <c r="L11" s="727"/>
      <c r="M11" s="727"/>
      <c r="N11" s="727"/>
      <c r="O11" s="727"/>
      <c r="P11" s="727"/>
      <c r="Q11" s="727"/>
    </row>
    <row r="12" spans="1:23" ht="60" customHeight="1" x14ac:dyDescent="0.25">
      <c r="B12" s="865" t="s">
        <v>175</v>
      </c>
      <c r="C12" s="868" t="s">
        <v>176</v>
      </c>
      <c r="D12" s="869"/>
      <c r="E12" s="869"/>
      <c r="F12" s="869"/>
      <c r="G12" s="870"/>
      <c r="H12" s="868" t="s">
        <v>236</v>
      </c>
      <c r="I12" s="870"/>
      <c r="J12" s="881" t="s">
        <v>237</v>
      </c>
      <c r="K12" s="882"/>
      <c r="L12" s="881" t="s">
        <v>238</v>
      </c>
      <c r="M12" s="882"/>
      <c r="N12" s="881" t="s">
        <v>239</v>
      </c>
      <c r="O12" s="882"/>
      <c r="P12" s="881" t="s">
        <v>235</v>
      </c>
      <c r="Q12" s="882"/>
    </row>
    <row r="13" spans="1:23" x14ac:dyDescent="0.25">
      <c r="B13" s="866"/>
      <c r="C13" s="871"/>
      <c r="D13" s="872"/>
      <c r="E13" s="872"/>
      <c r="F13" s="872"/>
      <c r="G13" s="873"/>
      <c r="H13" s="871"/>
      <c r="I13" s="873"/>
      <c r="J13" s="883"/>
      <c r="K13" s="884"/>
      <c r="L13" s="883"/>
      <c r="M13" s="884"/>
      <c r="N13" s="883"/>
      <c r="O13" s="884"/>
      <c r="P13" s="883"/>
      <c r="Q13" s="884"/>
    </row>
    <row r="14" spans="1:23" ht="102.75" customHeight="1" x14ac:dyDescent="0.25">
      <c r="B14" s="866"/>
      <c r="C14" s="874" t="s">
        <v>233</v>
      </c>
      <c r="D14" s="875"/>
      <c r="E14" s="876"/>
      <c r="F14" s="874" t="s">
        <v>234</v>
      </c>
      <c r="G14" s="876"/>
      <c r="H14" s="862" t="s">
        <v>177</v>
      </c>
      <c r="I14" s="862" t="s">
        <v>178</v>
      </c>
      <c r="J14" s="862" t="s">
        <v>177</v>
      </c>
      <c r="K14" s="862" t="s">
        <v>178</v>
      </c>
      <c r="L14" s="862" t="s">
        <v>177</v>
      </c>
      <c r="M14" s="862" t="s">
        <v>178</v>
      </c>
      <c r="N14" s="862" t="s">
        <v>177</v>
      </c>
      <c r="O14" s="862" t="s">
        <v>178</v>
      </c>
      <c r="P14" s="862" t="s">
        <v>177</v>
      </c>
      <c r="Q14" s="862" t="s">
        <v>178</v>
      </c>
    </row>
    <row r="15" spans="1:23" ht="35.25" customHeight="1" x14ac:dyDescent="0.25">
      <c r="B15" s="866"/>
      <c r="C15" s="877" t="s">
        <v>179</v>
      </c>
      <c r="D15" s="878"/>
      <c r="E15" s="862" t="s">
        <v>180</v>
      </c>
      <c r="F15" s="862" t="s">
        <v>179</v>
      </c>
      <c r="G15" s="862" t="s">
        <v>180</v>
      </c>
      <c r="H15" s="863"/>
      <c r="I15" s="863"/>
      <c r="J15" s="863"/>
      <c r="K15" s="863"/>
      <c r="L15" s="863"/>
      <c r="M15" s="863"/>
      <c r="N15" s="863"/>
      <c r="O15" s="863"/>
      <c r="P15" s="863"/>
      <c r="Q15" s="863"/>
    </row>
    <row r="16" spans="1:23" ht="52.5" customHeight="1" x14ac:dyDescent="0.25">
      <c r="B16" s="867"/>
      <c r="C16" s="879"/>
      <c r="D16" s="880"/>
      <c r="E16" s="864"/>
      <c r="F16" s="864"/>
      <c r="G16" s="864"/>
      <c r="H16" s="864"/>
      <c r="I16" s="864"/>
      <c r="J16" s="864"/>
      <c r="K16" s="864"/>
      <c r="L16" s="864"/>
      <c r="M16" s="864"/>
      <c r="N16" s="864"/>
      <c r="O16" s="864"/>
      <c r="P16" s="864"/>
      <c r="Q16" s="864"/>
    </row>
    <row r="17" spans="2:25" x14ac:dyDescent="0.25">
      <c r="B17" s="758">
        <v>1</v>
      </c>
      <c r="C17" s="887">
        <v>2</v>
      </c>
      <c r="D17" s="888"/>
      <c r="E17" s="889"/>
      <c r="F17" s="890">
        <v>3</v>
      </c>
      <c r="G17" s="891"/>
      <c r="H17" s="758">
        <v>4</v>
      </c>
      <c r="I17" s="759">
        <v>5</v>
      </c>
      <c r="J17" s="759">
        <v>6</v>
      </c>
      <c r="K17" s="759">
        <v>7</v>
      </c>
      <c r="L17" s="759">
        <v>8</v>
      </c>
      <c r="M17" s="759">
        <v>9</v>
      </c>
      <c r="N17" s="758">
        <v>10</v>
      </c>
      <c r="O17" s="758">
        <v>11</v>
      </c>
      <c r="P17" s="759">
        <v>12</v>
      </c>
      <c r="Q17" s="759">
        <v>13</v>
      </c>
    </row>
    <row r="18" spans="2:25" x14ac:dyDescent="0.25">
      <c r="B18" s="678" t="s">
        <v>181</v>
      </c>
      <c r="C18" s="489">
        <v>1</v>
      </c>
      <c r="D18" s="757"/>
      <c r="E18" s="756"/>
      <c r="F18" s="756"/>
      <c r="G18" s="756"/>
      <c r="H18" s="721"/>
      <c r="I18" s="721"/>
      <c r="J18" s="721"/>
      <c r="K18" s="721"/>
      <c r="L18" s="721"/>
      <c r="M18" s="721"/>
      <c r="N18" s="721"/>
      <c r="O18" s="721"/>
      <c r="P18" s="740">
        <f>H18-J18-L18+N18</f>
        <v>0</v>
      </c>
      <c r="Q18" s="740">
        <f>I18-K18-M18+O18</f>
        <v>0</v>
      </c>
    </row>
    <row r="19" spans="2:25" x14ac:dyDescent="0.25">
      <c r="B19" s="489" t="s">
        <v>182</v>
      </c>
      <c r="C19" s="741">
        <v>1</v>
      </c>
      <c r="D19" s="723"/>
      <c r="E19" s="756"/>
      <c r="F19" s="721"/>
      <c r="G19" s="721"/>
      <c r="H19" s="721"/>
      <c r="I19" s="721"/>
      <c r="J19" s="721"/>
      <c r="K19" s="721"/>
      <c r="L19" s="721"/>
      <c r="M19" s="721"/>
      <c r="N19" s="721"/>
      <c r="O19" s="721"/>
      <c r="P19" s="740">
        <f t="shared" ref="P19:P23" si="0">H19-J19-L19+N19</f>
        <v>0</v>
      </c>
      <c r="Q19" s="740">
        <f t="shared" ref="Q19:Q23" si="1">I19-K19-M19+O19</f>
        <v>0</v>
      </c>
    </row>
    <row r="20" spans="2:25" x14ac:dyDescent="0.25">
      <c r="B20" s="678" t="s">
        <v>183</v>
      </c>
      <c r="C20" s="489">
        <v>1</v>
      </c>
      <c r="D20" s="757"/>
      <c r="E20" s="756"/>
      <c r="F20" s="756"/>
      <c r="G20" s="756"/>
      <c r="H20" s="721"/>
      <c r="I20" s="721"/>
      <c r="J20" s="721"/>
      <c r="K20" s="721"/>
      <c r="L20" s="721"/>
      <c r="M20" s="721"/>
      <c r="N20" s="721"/>
      <c r="O20" s="721"/>
      <c r="P20" s="740">
        <f t="shared" si="0"/>
        <v>0</v>
      </c>
      <c r="Q20" s="740">
        <f t="shared" si="1"/>
        <v>0</v>
      </c>
    </row>
    <row r="21" spans="2:25" x14ac:dyDescent="0.25">
      <c r="B21" s="489" t="s">
        <v>184</v>
      </c>
      <c r="C21" s="741">
        <v>1</v>
      </c>
      <c r="D21" s="723"/>
      <c r="E21" s="756"/>
      <c r="F21" s="721"/>
      <c r="G21" s="721"/>
      <c r="H21" s="721"/>
      <c r="I21" s="721"/>
      <c r="J21" s="721"/>
      <c r="K21" s="721"/>
      <c r="L21" s="721"/>
      <c r="M21" s="721"/>
      <c r="N21" s="721"/>
      <c r="O21" s="721"/>
      <c r="P21" s="740">
        <f t="shared" si="0"/>
        <v>0</v>
      </c>
      <c r="Q21" s="740">
        <f t="shared" si="1"/>
        <v>0</v>
      </c>
    </row>
    <row r="22" spans="2:25" x14ac:dyDescent="0.25">
      <c r="B22" s="678" t="s">
        <v>185</v>
      </c>
      <c r="C22" s="489">
        <v>1</v>
      </c>
      <c r="D22" s="757"/>
      <c r="E22" s="756"/>
      <c r="F22" s="756"/>
      <c r="G22" s="756"/>
      <c r="H22" s="721"/>
      <c r="I22" s="721"/>
      <c r="J22" s="721"/>
      <c r="K22" s="721"/>
      <c r="L22" s="721"/>
      <c r="M22" s="721"/>
      <c r="N22" s="721"/>
      <c r="O22" s="721"/>
      <c r="P22" s="740">
        <f t="shared" si="0"/>
        <v>0</v>
      </c>
      <c r="Q22" s="740">
        <f t="shared" si="1"/>
        <v>0</v>
      </c>
    </row>
    <row r="23" spans="2:25" x14ac:dyDescent="0.25">
      <c r="B23" s="489" t="s">
        <v>186</v>
      </c>
      <c r="C23" s="741">
        <v>1</v>
      </c>
      <c r="D23" s="723"/>
      <c r="E23" s="756"/>
      <c r="F23" s="721"/>
      <c r="G23" s="721"/>
      <c r="H23" s="721"/>
      <c r="I23" s="721"/>
      <c r="J23" s="721"/>
      <c r="K23" s="721"/>
      <c r="L23" s="721"/>
      <c r="M23" s="721"/>
      <c r="N23" s="721"/>
      <c r="O23" s="721"/>
      <c r="P23" s="740">
        <f t="shared" si="0"/>
        <v>0</v>
      </c>
      <c r="Q23" s="740">
        <f t="shared" si="1"/>
        <v>0</v>
      </c>
    </row>
    <row r="24" spans="2:25" x14ac:dyDescent="0.25">
      <c r="B24" s="489"/>
      <c r="C24" s="489"/>
      <c r="D24" s="856">
        <f>D19+D21+D23</f>
        <v>0</v>
      </c>
      <c r="E24" s="857"/>
      <c r="F24" s="856">
        <f>F19+F21+F23</f>
        <v>0</v>
      </c>
      <c r="G24" s="857"/>
      <c r="H24" s="740">
        <f t="shared" ref="H24:O24" si="2">H19+H21+H23</f>
        <v>0</v>
      </c>
      <c r="I24" s="740">
        <f t="shared" si="2"/>
        <v>0</v>
      </c>
      <c r="J24" s="740">
        <f t="shared" si="2"/>
        <v>0</v>
      </c>
      <c r="K24" s="740">
        <f t="shared" si="2"/>
        <v>0</v>
      </c>
      <c r="L24" s="740">
        <f t="shared" si="2"/>
        <v>0</v>
      </c>
      <c r="M24" s="740">
        <f t="shared" si="2"/>
        <v>0</v>
      </c>
      <c r="N24" s="740">
        <f t="shared" si="2"/>
        <v>0</v>
      </c>
      <c r="O24" s="740">
        <f t="shared" si="2"/>
        <v>0</v>
      </c>
      <c r="P24" s="740">
        <f t="shared" ref="P24" si="3">H24-J24-L24+N24</f>
        <v>0</v>
      </c>
      <c r="Q24" s="740">
        <f t="shared" ref="Q24" si="4">I24-K24-M24+O24</f>
        <v>0</v>
      </c>
    </row>
    <row r="25" spans="2:25" ht="24" x14ac:dyDescent="0.25">
      <c r="B25" s="742" t="s">
        <v>187</v>
      </c>
      <c r="C25" s="742"/>
      <c r="D25" s="854">
        <f>D24+F24</f>
        <v>0</v>
      </c>
      <c r="E25" s="858"/>
      <c r="F25" s="858"/>
      <c r="G25" s="855"/>
      <c r="H25" s="852">
        <f>H24+I24</f>
        <v>0</v>
      </c>
      <c r="I25" s="853"/>
      <c r="J25" s="852">
        <f t="shared" ref="J25" si="5">J24+K24</f>
        <v>0</v>
      </c>
      <c r="K25" s="853"/>
      <c r="L25" s="852">
        <f t="shared" ref="L25" si="6">L24+M24</f>
        <v>0</v>
      </c>
      <c r="M25" s="853"/>
      <c r="N25" s="852">
        <f t="shared" ref="N25" si="7">N24+O24</f>
        <v>0</v>
      </c>
      <c r="O25" s="853"/>
      <c r="P25" s="854">
        <f>H25-J25-L25+N25</f>
        <v>0</v>
      </c>
      <c r="Q25" s="855"/>
    </row>
    <row r="26" spans="2:25" x14ac:dyDescent="0.25">
      <c r="B26" s="743" t="s">
        <v>1403</v>
      </c>
      <c r="C26" s="743"/>
      <c r="D26" s="744"/>
      <c r="E26" s="744"/>
      <c r="F26" s="744"/>
      <c r="G26" s="744"/>
      <c r="H26" s="745"/>
      <c r="I26" s="745"/>
      <c r="J26" s="746"/>
      <c r="K26" s="746"/>
      <c r="L26" s="746"/>
      <c r="M26" s="746"/>
      <c r="N26" s="746"/>
      <c r="O26" s="746"/>
      <c r="P26" s="746"/>
      <c r="Q26" s="746"/>
      <c r="R26" s="747"/>
      <c r="S26" s="747"/>
      <c r="T26" s="747"/>
      <c r="U26" s="747"/>
      <c r="V26" s="747"/>
      <c r="W26" s="747"/>
      <c r="X26" s="747"/>
      <c r="Y26" s="747"/>
    </row>
    <row r="27" spans="2:25" x14ac:dyDescent="0.25">
      <c r="D27" s="731"/>
      <c r="E27" s="731"/>
      <c r="F27" s="731"/>
      <c r="G27" s="731"/>
      <c r="H27" s="731"/>
      <c r="I27" s="731"/>
      <c r="J27" s="731"/>
      <c r="K27" s="731"/>
      <c r="L27" s="731"/>
      <c r="M27" s="731"/>
      <c r="N27" s="731"/>
      <c r="O27" s="731"/>
      <c r="P27" s="731"/>
      <c r="Q27" s="731"/>
    </row>
    <row r="28" spans="2:25" x14ac:dyDescent="0.25">
      <c r="D28" s="731"/>
      <c r="E28" s="731" t="s">
        <v>173</v>
      </c>
      <c r="F28" s="731"/>
      <c r="G28" s="748"/>
      <c r="H28" s="748"/>
      <c r="I28" s="748"/>
      <c r="J28" s="748"/>
      <c r="K28" s="731"/>
      <c r="L28" s="731"/>
      <c r="M28" s="731" t="s">
        <v>34</v>
      </c>
      <c r="N28" s="731"/>
      <c r="O28" s="749"/>
      <c r="P28" s="731"/>
      <c r="Q28" s="731"/>
    </row>
    <row r="29" spans="2:25" x14ac:dyDescent="0.25">
      <c r="D29" s="731"/>
      <c r="E29" s="731"/>
      <c r="F29" s="731"/>
      <c r="G29" s="748"/>
      <c r="H29" s="748"/>
      <c r="I29" s="748"/>
      <c r="J29" s="748"/>
      <c r="K29" s="731"/>
      <c r="L29" s="731"/>
      <c r="M29" s="731"/>
      <c r="N29" s="731"/>
      <c r="O29" s="749"/>
      <c r="P29" s="731"/>
      <c r="Q29" s="731"/>
    </row>
    <row r="30" spans="2:25" x14ac:dyDescent="0.25">
      <c r="D30" s="731"/>
      <c r="E30" s="731" t="s">
        <v>174</v>
      </c>
      <c r="F30" s="731"/>
      <c r="G30" s="772"/>
      <c r="H30" s="750"/>
      <c r="I30" s="750"/>
      <c r="J30" s="750"/>
      <c r="K30" s="731"/>
      <c r="L30" s="731"/>
      <c r="M30" s="731" t="s">
        <v>36</v>
      </c>
      <c r="O30" s="751"/>
      <c r="P30" s="751"/>
      <c r="Q30" s="751"/>
    </row>
    <row r="31" spans="2:25" x14ac:dyDescent="0.25">
      <c r="B31" s="752"/>
      <c r="C31" s="752"/>
      <c r="G31" s="753" t="s">
        <v>1434</v>
      </c>
      <c r="H31" s="753"/>
      <c r="I31" s="753"/>
      <c r="J31" s="753"/>
    </row>
    <row r="32" spans="2:25" x14ac:dyDescent="0.25">
      <c r="B32" s="754"/>
      <c r="C32" s="754"/>
    </row>
    <row r="33" spans="2:3" x14ac:dyDescent="0.25">
      <c r="B33" s="754"/>
      <c r="C33" s="754"/>
    </row>
    <row r="35" spans="2:3" x14ac:dyDescent="0.25">
      <c r="B35" s="754"/>
      <c r="C35" s="754"/>
    </row>
    <row r="36" spans="2:3" ht="15.75" x14ac:dyDescent="0.25">
      <c r="B36" s="755"/>
      <c r="C36" s="755"/>
    </row>
  </sheetData>
  <sheetProtection algorithmName="SHA-512" hashValue="NJ+2ps1gBq9OWrOwOt186Ry5wVl76tbHz3CKANq/dhjvLKAQVTLIG+btMKEWW7k1lGZwgYG9+TIX5y6JjcFmUA==" saltValue="R4lKlrJBMl5JUedz7jpj/g==" spinCount="100000" sheet="1" objects="1" scenarios="1" selectLockedCells="1"/>
  <mergeCells count="40">
    <mergeCell ref="F5:G5"/>
    <mergeCell ref="F7:G7"/>
    <mergeCell ref="F9:G9"/>
    <mergeCell ref="C17:E17"/>
    <mergeCell ref="F17:G17"/>
    <mergeCell ref="J12:K13"/>
    <mergeCell ref="L12:M13"/>
    <mergeCell ref="J14:J16"/>
    <mergeCell ref="K14:K16"/>
    <mergeCell ref="L14:L16"/>
    <mergeCell ref="M14:M16"/>
    <mergeCell ref="O14:O16"/>
    <mergeCell ref="P14:P16"/>
    <mergeCell ref="Q14:Q16"/>
    <mergeCell ref="N12:O13"/>
    <mergeCell ref="P12:Q13"/>
    <mergeCell ref="F4:G4"/>
    <mergeCell ref="F6:G6"/>
    <mergeCell ref="F8:G8"/>
    <mergeCell ref="B1:N1"/>
    <mergeCell ref="N14:N16"/>
    <mergeCell ref="H14:H16"/>
    <mergeCell ref="I14:I16"/>
    <mergeCell ref="B12:B16"/>
    <mergeCell ref="C12:G13"/>
    <mergeCell ref="H12:I13"/>
    <mergeCell ref="C14:E14"/>
    <mergeCell ref="F14:G14"/>
    <mergeCell ref="C15:D16"/>
    <mergeCell ref="E15:E16"/>
    <mergeCell ref="F15:F16"/>
    <mergeCell ref="G15:G16"/>
    <mergeCell ref="L25:M25"/>
    <mergeCell ref="N25:O25"/>
    <mergeCell ref="P25:Q25"/>
    <mergeCell ref="D24:E24"/>
    <mergeCell ref="F24:G24"/>
    <mergeCell ref="D25:G25"/>
    <mergeCell ref="H25:I25"/>
    <mergeCell ref="J25:K25"/>
  </mergeCells>
  <dataValidations count="1">
    <dataValidation type="decimal" allowBlank="1" showInputMessage="1" showErrorMessage="1" errorTitle="Анхаар" error="Зөвхөн тоо оруулна уу." sqref="I21:O22 F23:O23 H22 F19:H19 F21:H21 H18:O18 I19:O20 H20">
      <formula1>-9.99999999999999E+36</formula1>
      <formula2>9.99999999999999E+37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coalRep_3_add_row">
                <anchor moveWithCells="1" sizeWithCells="1">
                  <from>
                    <xdr:col>0</xdr:col>
                    <xdr:colOff>47625</xdr:colOff>
                    <xdr:row>17</xdr:row>
                    <xdr:rowOff>28575</xdr:rowOff>
                  </from>
                  <to>
                    <xdr:col>0</xdr:col>
                    <xdr:colOff>238125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oalRep_3_add_row">
                <anchor moveWithCells="1" sizeWithCells="1">
                  <from>
                    <xdr:col>0</xdr:col>
                    <xdr:colOff>47625</xdr:colOff>
                    <xdr:row>19</xdr:row>
                    <xdr:rowOff>28575</xdr:rowOff>
                  </from>
                  <to>
                    <xdr:col>0</xdr:col>
                    <xdr:colOff>238125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coalRep_3_add_row">
                <anchor moveWithCells="1" sizeWithCells="1">
                  <from>
                    <xdr:col>0</xdr:col>
                    <xdr:colOff>47625</xdr:colOff>
                    <xdr:row>21</xdr:row>
                    <xdr:rowOff>28575</xdr:rowOff>
                  </from>
                  <to>
                    <xdr:col>0</xdr:col>
                    <xdr:colOff>238125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BS24"/>
  <sheetViews>
    <sheetView showGridLines="0" workbookViewId="0">
      <selection activeCell="C15" sqref="C15"/>
    </sheetView>
  </sheetViews>
  <sheetFormatPr defaultRowHeight="15" x14ac:dyDescent="0.25"/>
  <cols>
    <col min="1" max="1" width="2.85546875" customWidth="1"/>
    <col min="2" max="2" width="21.42578125" customWidth="1"/>
    <col min="3" max="18" width="6.28515625" customWidth="1"/>
    <col min="19" max="71" width="9.140625" style="770"/>
  </cols>
  <sheetData>
    <row r="1" spans="1:71" s="36" customFormat="1" ht="99" customHeight="1" x14ac:dyDescent="0.2">
      <c r="B1" s="827" t="s">
        <v>251</v>
      </c>
      <c r="C1" s="827"/>
      <c r="D1" s="827"/>
      <c r="E1" s="827"/>
      <c r="F1" s="827"/>
      <c r="G1" s="827"/>
      <c r="H1" s="827"/>
      <c r="I1" s="827"/>
      <c r="J1" s="827"/>
      <c r="K1" s="827"/>
      <c r="L1" s="827"/>
      <c r="M1" s="827"/>
      <c r="N1" s="827"/>
      <c r="O1" s="42"/>
      <c r="P1" s="42"/>
      <c r="Q1" s="900" t="s">
        <v>268</v>
      </c>
      <c r="R1" s="900"/>
    </row>
    <row r="2" spans="1:71" s="2" customFormat="1" ht="15.75" customHeight="1" x14ac:dyDescent="0.25">
      <c r="A2" s="1"/>
      <c r="S2" s="788"/>
      <c r="T2" s="788"/>
      <c r="U2" s="788"/>
      <c r="V2" s="788"/>
      <c r="W2" s="788"/>
      <c r="X2" s="788"/>
      <c r="Y2" s="788"/>
      <c r="Z2" s="788"/>
      <c r="AA2" s="788"/>
      <c r="AB2" s="788"/>
      <c r="AC2" s="788"/>
      <c r="AD2" s="788"/>
      <c r="AE2" s="788"/>
      <c r="AF2" s="788"/>
      <c r="AG2" s="788"/>
      <c r="AH2" s="788"/>
      <c r="AI2" s="788"/>
      <c r="AJ2" s="788"/>
      <c r="AK2" s="788"/>
      <c r="AL2" s="788"/>
      <c r="AM2" s="788"/>
      <c r="AN2" s="788"/>
      <c r="AO2" s="788"/>
      <c r="AP2" s="788"/>
      <c r="AQ2" s="788"/>
      <c r="AR2" s="788"/>
      <c r="AS2" s="788"/>
      <c r="AT2" s="788"/>
      <c r="AU2" s="788"/>
      <c r="AV2" s="788"/>
      <c r="AW2" s="788"/>
      <c r="AX2" s="788"/>
      <c r="AY2" s="788"/>
      <c r="AZ2" s="788"/>
      <c r="BA2" s="788"/>
      <c r="BB2" s="788"/>
      <c r="BC2" s="788"/>
      <c r="BD2" s="788"/>
      <c r="BE2" s="788"/>
      <c r="BF2" s="788"/>
      <c r="BG2" s="788"/>
      <c r="BH2" s="788"/>
      <c r="BI2" s="788"/>
      <c r="BJ2" s="788"/>
      <c r="BK2" s="788"/>
      <c r="BL2" s="788"/>
      <c r="BM2" s="788"/>
      <c r="BN2" s="788"/>
      <c r="BO2" s="788"/>
      <c r="BP2" s="788"/>
      <c r="BQ2" s="788"/>
      <c r="BR2" s="788"/>
      <c r="BS2" s="788"/>
    </row>
    <row r="3" spans="1:71" s="43" customFormat="1" ht="17.25" customHeight="1" x14ac:dyDescent="0.25">
      <c r="A3" s="901" t="s">
        <v>0</v>
      </c>
      <c r="B3" s="901"/>
      <c r="C3" s="901"/>
      <c r="D3" s="901"/>
      <c r="E3" s="901"/>
      <c r="F3" s="896"/>
      <c r="G3" s="896"/>
      <c r="H3" s="896"/>
      <c r="I3" s="896"/>
      <c r="J3" s="896"/>
      <c r="K3" s="896"/>
      <c r="S3" s="774"/>
      <c r="T3" s="774"/>
      <c r="U3" s="774"/>
      <c r="V3" s="774"/>
      <c r="W3" s="774"/>
      <c r="X3" s="774"/>
      <c r="Y3" s="774"/>
      <c r="Z3" s="774"/>
      <c r="AA3" s="774"/>
      <c r="AB3" s="774"/>
      <c r="AC3" s="774"/>
      <c r="AD3" s="774"/>
      <c r="AE3" s="774"/>
      <c r="AF3" s="774"/>
      <c r="AG3" s="774"/>
      <c r="AH3" s="774"/>
      <c r="AI3" s="774"/>
      <c r="AJ3" s="774"/>
      <c r="AK3" s="774"/>
      <c r="AL3" s="774"/>
      <c r="AM3" s="774"/>
      <c r="AN3" s="774"/>
      <c r="AO3" s="774"/>
      <c r="AP3" s="774"/>
      <c r="AQ3" s="774"/>
      <c r="AR3" s="774"/>
      <c r="AS3" s="774"/>
      <c r="AT3" s="774"/>
      <c r="AU3" s="774"/>
      <c r="AV3" s="774"/>
      <c r="AW3" s="774"/>
      <c r="AX3" s="774"/>
      <c r="AY3" s="774"/>
      <c r="AZ3" s="774"/>
      <c r="BA3" s="774"/>
      <c r="BB3" s="774"/>
      <c r="BC3" s="774"/>
      <c r="BD3" s="774"/>
      <c r="BE3" s="774"/>
      <c r="BF3" s="774"/>
      <c r="BG3" s="774"/>
      <c r="BH3" s="774"/>
      <c r="BI3" s="774"/>
      <c r="BJ3" s="774"/>
      <c r="BK3" s="774"/>
      <c r="BL3" s="774"/>
      <c r="BM3" s="774"/>
      <c r="BN3" s="774"/>
      <c r="BO3" s="774"/>
      <c r="BP3" s="774"/>
      <c r="BQ3" s="774"/>
      <c r="BR3" s="774"/>
      <c r="BS3" s="774"/>
    </row>
    <row r="4" spans="1:71" s="43" customFormat="1" ht="9.75" customHeight="1" x14ac:dyDescent="0.25">
      <c r="A4" s="103"/>
      <c r="B4" s="103"/>
      <c r="C4" s="103"/>
      <c r="D4" s="103"/>
      <c r="E4" s="103"/>
      <c r="F4" s="897" t="s">
        <v>1429</v>
      </c>
      <c r="G4" s="897"/>
      <c r="H4" s="897"/>
      <c r="I4" s="897"/>
      <c r="J4" s="897"/>
      <c r="K4" s="897"/>
      <c r="S4" s="774"/>
      <c r="T4" s="774"/>
      <c r="U4" s="774"/>
      <c r="V4" s="774"/>
      <c r="W4" s="774"/>
      <c r="X4" s="774"/>
      <c r="Y4" s="774"/>
      <c r="Z4" s="774"/>
      <c r="AA4" s="774"/>
      <c r="AB4" s="774"/>
      <c r="AC4" s="774"/>
      <c r="AD4" s="774"/>
      <c r="AE4" s="774"/>
      <c r="AF4" s="774"/>
      <c r="AG4" s="774"/>
      <c r="AH4" s="774"/>
      <c r="AI4" s="774"/>
      <c r="AJ4" s="774"/>
      <c r="AK4" s="774"/>
      <c r="AL4" s="774"/>
      <c r="AM4" s="774"/>
      <c r="AN4" s="774"/>
      <c r="AO4" s="774"/>
      <c r="AP4" s="774"/>
      <c r="AQ4" s="774"/>
      <c r="AR4" s="774"/>
      <c r="AS4" s="774"/>
      <c r="AT4" s="774"/>
      <c r="AU4" s="774"/>
      <c r="AV4" s="774"/>
      <c r="AW4" s="774"/>
      <c r="AX4" s="774"/>
      <c r="AY4" s="774"/>
      <c r="AZ4" s="774"/>
      <c r="BA4" s="774"/>
      <c r="BB4" s="774"/>
      <c r="BC4" s="774"/>
      <c r="BD4" s="774"/>
      <c r="BE4" s="774"/>
      <c r="BF4" s="774"/>
      <c r="BG4" s="774"/>
      <c r="BH4" s="774"/>
      <c r="BI4" s="774"/>
      <c r="BJ4" s="774"/>
      <c r="BK4" s="774"/>
      <c r="BL4" s="774"/>
      <c r="BM4" s="774"/>
      <c r="BN4" s="774"/>
      <c r="BO4" s="774"/>
      <c r="BP4" s="774"/>
      <c r="BQ4" s="774"/>
      <c r="BR4" s="774"/>
      <c r="BS4" s="774"/>
    </row>
    <row r="5" spans="1:71" s="43" customFormat="1" ht="17.25" customHeight="1" x14ac:dyDescent="0.25">
      <c r="A5" s="901" t="s">
        <v>1</v>
      </c>
      <c r="B5" s="901"/>
      <c r="C5" s="901"/>
      <c r="D5" s="901"/>
      <c r="E5" s="901"/>
      <c r="F5" s="896"/>
      <c r="G5" s="896"/>
      <c r="H5" s="896"/>
      <c r="I5" s="896"/>
      <c r="J5" s="896"/>
      <c r="K5" s="896"/>
      <c r="S5" s="774"/>
      <c r="T5" s="774"/>
      <c r="U5" s="774"/>
      <c r="V5" s="774"/>
      <c r="W5" s="774"/>
      <c r="X5" s="774"/>
      <c r="Y5" s="774"/>
      <c r="Z5" s="774"/>
      <c r="AA5" s="774"/>
      <c r="AB5" s="774"/>
      <c r="AC5" s="774"/>
      <c r="AD5" s="774"/>
      <c r="AE5" s="774"/>
      <c r="AF5" s="774"/>
      <c r="AG5" s="774"/>
      <c r="AH5" s="774"/>
      <c r="AI5" s="774"/>
      <c r="AJ5" s="774"/>
      <c r="AK5" s="774"/>
      <c r="AL5" s="774"/>
      <c r="AM5" s="774"/>
      <c r="AN5" s="774"/>
      <c r="AO5" s="774"/>
      <c r="AP5" s="774"/>
      <c r="AQ5" s="774"/>
      <c r="AR5" s="774"/>
      <c r="AS5" s="774"/>
      <c r="AT5" s="774"/>
      <c r="AU5" s="774"/>
      <c r="AV5" s="774"/>
      <c r="AW5" s="774"/>
      <c r="AX5" s="774"/>
      <c r="AY5" s="774"/>
      <c r="AZ5" s="774"/>
      <c r="BA5" s="774"/>
      <c r="BB5" s="774"/>
      <c r="BC5" s="774"/>
      <c r="BD5" s="774"/>
      <c r="BE5" s="774"/>
      <c r="BF5" s="774"/>
      <c r="BG5" s="774"/>
      <c r="BH5" s="774"/>
      <c r="BI5" s="774"/>
      <c r="BJ5" s="774"/>
      <c r="BK5" s="774"/>
      <c r="BL5" s="774"/>
      <c r="BM5" s="774"/>
      <c r="BN5" s="774"/>
      <c r="BO5" s="774"/>
      <c r="BP5" s="774"/>
      <c r="BQ5" s="774"/>
      <c r="BR5" s="774"/>
      <c r="BS5" s="774"/>
    </row>
    <row r="6" spans="1:71" s="43" customFormat="1" ht="9.75" customHeight="1" x14ac:dyDescent="0.25">
      <c r="A6" s="103"/>
      <c r="B6" s="103"/>
      <c r="C6" s="103"/>
      <c r="D6" s="103"/>
      <c r="E6" s="103"/>
      <c r="F6" s="897" t="s">
        <v>1430</v>
      </c>
      <c r="G6" s="897"/>
      <c r="H6" s="897"/>
      <c r="I6" s="897"/>
      <c r="J6" s="897"/>
      <c r="K6" s="897"/>
      <c r="S6" s="774"/>
      <c r="T6" s="774"/>
      <c r="U6" s="774"/>
      <c r="V6" s="774"/>
      <c r="W6" s="774"/>
      <c r="X6" s="774"/>
      <c r="Y6" s="774"/>
      <c r="Z6" s="774"/>
      <c r="AA6" s="774"/>
      <c r="AB6" s="774"/>
      <c r="AC6" s="774"/>
      <c r="AD6" s="774"/>
      <c r="AE6" s="774"/>
      <c r="AF6" s="774"/>
      <c r="AG6" s="774"/>
      <c r="AH6" s="774"/>
      <c r="AI6" s="774"/>
      <c r="AJ6" s="774"/>
      <c r="AK6" s="774"/>
      <c r="AL6" s="774"/>
      <c r="AM6" s="774"/>
      <c r="AN6" s="774"/>
      <c r="AO6" s="774"/>
      <c r="AP6" s="774"/>
      <c r="AQ6" s="774"/>
      <c r="AR6" s="774"/>
      <c r="AS6" s="774"/>
      <c r="AT6" s="774"/>
      <c r="AU6" s="774"/>
      <c r="AV6" s="774"/>
      <c r="AW6" s="774"/>
      <c r="AX6" s="774"/>
      <c r="AY6" s="774"/>
      <c r="AZ6" s="774"/>
      <c r="BA6" s="774"/>
      <c r="BB6" s="774"/>
      <c r="BC6" s="774"/>
      <c r="BD6" s="774"/>
      <c r="BE6" s="774"/>
      <c r="BF6" s="774"/>
      <c r="BG6" s="774"/>
      <c r="BH6" s="774"/>
      <c r="BI6" s="774"/>
      <c r="BJ6" s="774"/>
      <c r="BK6" s="774"/>
      <c r="BL6" s="774"/>
      <c r="BM6" s="774"/>
      <c r="BN6" s="774"/>
      <c r="BO6" s="774"/>
      <c r="BP6" s="774"/>
      <c r="BQ6" s="774"/>
      <c r="BR6" s="774"/>
      <c r="BS6" s="774"/>
    </row>
    <row r="7" spans="1:71" s="43" customFormat="1" ht="17.25" customHeight="1" x14ac:dyDescent="0.25">
      <c r="A7" s="107" t="s">
        <v>283</v>
      </c>
      <c r="C7" s="892"/>
      <c r="D7" s="892"/>
      <c r="F7" s="896"/>
      <c r="G7" s="896"/>
      <c r="H7" s="896"/>
      <c r="I7" s="896"/>
      <c r="J7" s="896"/>
      <c r="K7" s="896"/>
      <c r="S7" s="774"/>
      <c r="T7" s="774"/>
      <c r="U7" s="774"/>
      <c r="V7" s="774"/>
      <c r="W7" s="774"/>
      <c r="X7" s="774"/>
      <c r="Y7" s="774"/>
      <c r="Z7" s="774"/>
      <c r="AA7" s="774"/>
      <c r="AB7" s="774"/>
      <c r="AC7" s="774"/>
      <c r="AD7" s="774"/>
      <c r="AE7" s="774"/>
      <c r="AF7" s="774"/>
      <c r="AG7" s="774"/>
      <c r="AH7" s="774"/>
      <c r="AI7" s="774"/>
      <c r="AJ7" s="774"/>
      <c r="AK7" s="774"/>
      <c r="AL7" s="774"/>
      <c r="AM7" s="774"/>
      <c r="AN7" s="774"/>
      <c r="AO7" s="774"/>
      <c r="AP7" s="774"/>
      <c r="AQ7" s="774"/>
      <c r="AR7" s="774"/>
      <c r="AS7" s="774"/>
      <c r="AT7" s="774"/>
      <c r="AU7" s="774"/>
      <c r="AV7" s="774"/>
      <c r="AW7" s="774"/>
      <c r="AX7" s="774"/>
      <c r="AY7" s="774"/>
      <c r="AZ7" s="774"/>
      <c r="BA7" s="774"/>
      <c r="BB7" s="774"/>
      <c r="BC7" s="774"/>
      <c r="BD7" s="774"/>
      <c r="BE7" s="774"/>
      <c r="BF7" s="774"/>
      <c r="BG7" s="774"/>
      <c r="BH7" s="774"/>
      <c r="BI7" s="774"/>
      <c r="BJ7" s="774"/>
      <c r="BK7" s="774"/>
      <c r="BL7" s="774"/>
      <c r="BM7" s="774"/>
      <c r="BN7" s="774"/>
      <c r="BO7" s="774"/>
      <c r="BP7" s="774"/>
      <c r="BQ7" s="774"/>
      <c r="BR7" s="774"/>
      <c r="BS7" s="774"/>
    </row>
    <row r="8" spans="1:71" s="43" customFormat="1" ht="7.5" customHeight="1" x14ac:dyDescent="0.25">
      <c r="A8" s="107"/>
      <c r="C8" s="112"/>
      <c r="D8" s="112"/>
      <c r="F8" s="897" t="s">
        <v>1431</v>
      </c>
      <c r="G8" s="897"/>
      <c r="H8" s="897"/>
      <c r="I8" s="897"/>
      <c r="J8" s="897"/>
      <c r="K8" s="897"/>
      <c r="S8" s="774"/>
      <c r="T8" s="774"/>
      <c r="U8" s="774"/>
      <c r="V8" s="774"/>
      <c r="W8" s="774"/>
      <c r="X8" s="774"/>
      <c r="Y8" s="774"/>
      <c r="Z8" s="774"/>
      <c r="AA8" s="774"/>
      <c r="AB8" s="774"/>
      <c r="AC8" s="774"/>
      <c r="AD8" s="774"/>
      <c r="AE8" s="774"/>
      <c r="AF8" s="774"/>
      <c r="AG8" s="774"/>
      <c r="AH8" s="774"/>
      <c r="AI8" s="774"/>
      <c r="AJ8" s="774"/>
      <c r="AK8" s="774"/>
      <c r="AL8" s="774"/>
      <c r="AM8" s="774"/>
      <c r="AN8" s="774"/>
      <c r="AO8" s="774"/>
      <c r="AP8" s="774"/>
      <c r="AQ8" s="774"/>
      <c r="AR8" s="774"/>
      <c r="AS8" s="774"/>
      <c r="AT8" s="774"/>
      <c r="AU8" s="774"/>
      <c r="AV8" s="774"/>
      <c r="AW8" s="774"/>
      <c r="AX8" s="774"/>
      <c r="AY8" s="774"/>
      <c r="AZ8" s="774"/>
      <c r="BA8" s="774"/>
      <c r="BB8" s="774"/>
      <c r="BC8" s="774"/>
      <c r="BD8" s="774"/>
      <c r="BE8" s="774"/>
      <c r="BF8" s="774"/>
      <c r="BG8" s="774"/>
      <c r="BH8" s="774"/>
      <c r="BI8" s="774"/>
      <c r="BJ8" s="774"/>
      <c r="BK8" s="774"/>
      <c r="BL8" s="774"/>
      <c r="BM8" s="774"/>
      <c r="BN8" s="774"/>
      <c r="BO8" s="774"/>
      <c r="BP8" s="774"/>
      <c r="BQ8" s="774"/>
      <c r="BR8" s="774"/>
      <c r="BS8" s="774"/>
    </row>
    <row r="9" spans="1:71" s="43" customFormat="1" ht="15.75" x14ac:dyDescent="0.25">
      <c r="A9" s="107"/>
      <c r="C9" s="112"/>
      <c r="D9" s="112"/>
      <c r="H9" s="112"/>
      <c r="I9" s="112"/>
      <c r="J9" s="112"/>
      <c r="K9" s="112"/>
      <c r="S9" s="774"/>
      <c r="T9" s="774"/>
      <c r="U9" s="774"/>
      <c r="V9" s="774"/>
      <c r="W9" s="774"/>
      <c r="X9" s="774"/>
      <c r="Y9" s="774"/>
      <c r="Z9" s="774"/>
      <c r="AA9" s="774"/>
      <c r="AB9" s="774"/>
      <c r="AC9" s="774"/>
      <c r="AD9" s="774"/>
      <c r="AE9" s="774"/>
      <c r="AF9" s="774"/>
      <c r="AG9" s="774"/>
      <c r="AH9" s="774"/>
      <c r="AI9" s="774"/>
      <c r="AJ9" s="774"/>
      <c r="AK9" s="774"/>
      <c r="AL9" s="774"/>
      <c r="AM9" s="774"/>
      <c r="AN9" s="774"/>
      <c r="AO9" s="774"/>
      <c r="AP9" s="774"/>
      <c r="AQ9" s="774"/>
      <c r="AR9" s="774"/>
      <c r="AS9" s="774"/>
      <c r="AT9" s="774"/>
      <c r="AU9" s="774"/>
      <c r="AV9" s="774"/>
      <c r="AW9" s="774"/>
      <c r="AX9" s="774"/>
      <c r="AY9" s="774"/>
      <c r="AZ9" s="774"/>
      <c r="BA9" s="774"/>
      <c r="BB9" s="774"/>
      <c r="BC9" s="774"/>
      <c r="BD9" s="774"/>
      <c r="BE9" s="774"/>
      <c r="BF9" s="774"/>
      <c r="BG9" s="774"/>
      <c r="BH9" s="774"/>
      <c r="BI9" s="774"/>
      <c r="BJ9" s="774"/>
      <c r="BK9" s="774"/>
      <c r="BL9" s="774"/>
      <c r="BM9" s="774"/>
      <c r="BN9" s="774"/>
      <c r="BO9" s="774"/>
      <c r="BP9" s="774"/>
      <c r="BQ9" s="774"/>
      <c r="BR9" s="774"/>
      <c r="BS9" s="774"/>
    </row>
    <row r="10" spans="1:71" ht="20.25" x14ac:dyDescent="0.3">
      <c r="A10" s="61"/>
      <c r="F10" s="66" t="s">
        <v>253</v>
      </c>
    </row>
    <row r="11" spans="1:71" s="44" customFormat="1" ht="24" customHeight="1" x14ac:dyDescent="0.25">
      <c r="A11" s="893" t="s">
        <v>2</v>
      </c>
      <c r="B11" s="894" t="s">
        <v>137</v>
      </c>
      <c r="C11" s="893" t="s">
        <v>138</v>
      </c>
      <c r="D11" s="893"/>
      <c r="E11" s="893"/>
      <c r="F11" s="893"/>
      <c r="G11" s="893"/>
      <c r="H11" s="893"/>
      <c r="I11" s="893"/>
      <c r="J11" s="893"/>
      <c r="K11" s="893"/>
      <c r="L11" s="893"/>
      <c r="M11" s="893"/>
      <c r="N11" s="893"/>
      <c r="O11" s="893"/>
      <c r="P11" s="893"/>
      <c r="Q11" s="893"/>
      <c r="R11" s="893"/>
      <c r="S11" s="789"/>
      <c r="T11" s="789"/>
      <c r="U11" s="789"/>
      <c r="V11" s="789"/>
      <c r="W11" s="789"/>
      <c r="X11" s="789"/>
      <c r="Y11" s="789"/>
      <c r="Z11" s="789"/>
      <c r="AA11" s="789"/>
      <c r="AB11" s="789"/>
      <c r="AC11" s="789"/>
      <c r="AD11" s="789"/>
      <c r="AE11" s="789"/>
      <c r="AF11" s="789"/>
      <c r="AG11" s="789"/>
      <c r="AH11" s="789"/>
      <c r="AI11" s="789"/>
      <c r="AJ11" s="789"/>
      <c r="AK11" s="789"/>
      <c r="AL11" s="789"/>
      <c r="AM11" s="789"/>
      <c r="AN11" s="789"/>
      <c r="AO11" s="789"/>
      <c r="AP11" s="789"/>
      <c r="AQ11" s="789"/>
      <c r="AR11" s="789"/>
      <c r="AS11" s="789"/>
      <c r="AT11" s="789"/>
      <c r="AU11" s="789"/>
      <c r="AV11" s="789"/>
      <c r="AW11" s="789"/>
      <c r="AX11" s="789"/>
      <c r="AY11" s="789"/>
      <c r="AZ11" s="789"/>
      <c r="BA11" s="789"/>
      <c r="BB11" s="789"/>
      <c r="BC11" s="789"/>
      <c r="BD11" s="789"/>
      <c r="BE11" s="789"/>
      <c r="BF11" s="789"/>
      <c r="BG11" s="789"/>
      <c r="BH11" s="789"/>
      <c r="BI11" s="789"/>
      <c r="BJ11" s="789"/>
      <c r="BK11" s="789"/>
      <c r="BL11" s="789"/>
      <c r="BM11" s="789"/>
      <c r="BN11" s="789"/>
      <c r="BO11" s="789"/>
      <c r="BP11" s="789"/>
      <c r="BQ11" s="789"/>
      <c r="BR11" s="789"/>
      <c r="BS11" s="789"/>
    </row>
    <row r="12" spans="1:71" s="44" customFormat="1" ht="30.95" customHeight="1" x14ac:dyDescent="0.25">
      <c r="A12" s="893"/>
      <c r="B12" s="894"/>
      <c r="C12" s="893" t="s">
        <v>139</v>
      </c>
      <c r="D12" s="893"/>
      <c r="E12" s="893" t="s">
        <v>140</v>
      </c>
      <c r="F12" s="893"/>
      <c r="G12" s="894" t="s">
        <v>141</v>
      </c>
      <c r="H12" s="894"/>
      <c r="I12" s="894" t="s">
        <v>142</v>
      </c>
      <c r="J12" s="894"/>
      <c r="K12" s="893" t="s">
        <v>143</v>
      </c>
      <c r="L12" s="893"/>
      <c r="M12" s="893"/>
      <c r="N12" s="893"/>
      <c r="O12" s="902" t="s">
        <v>145</v>
      </c>
      <c r="P12" s="902" t="s">
        <v>146</v>
      </c>
      <c r="Q12" s="904" t="s">
        <v>147</v>
      </c>
      <c r="R12" s="904" t="s">
        <v>148</v>
      </c>
      <c r="S12" s="789"/>
      <c r="T12" s="789"/>
      <c r="U12" s="789"/>
      <c r="V12" s="789"/>
      <c r="W12" s="789"/>
      <c r="X12" s="789"/>
      <c r="Y12" s="789"/>
      <c r="Z12" s="789"/>
      <c r="AA12" s="789"/>
      <c r="AB12" s="789"/>
      <c r="AC12" s="789"/>
      <c r="AD12" s="789"/>
      <c r="AE12" s="789"/>
      <c r="AF12" s="789"/>
      <c r="AG12" s="789"/>
      <c r="AH12" s="789"/>
      <c r="AI12" s="789"/>
      <c r="AJ12" s="789"/>
      <c r="AK12" s="789"/>
      <c r="AL12" s="789"/>
      <c r="AM12" s="789"/>
      <c r="AN12" s="789"/>
      <c r="AO12" s="789"/>
      <c r="AP12" s="789"/>
      <c r="AQ12" s="789"/>
      <c r="AR12" s="789"/>
      <c r="AS12" s="789"/>
      <c r="AT12" s="789"/>
      <c r="AU12" s="789"/>
      <c r="AV12" s="789"/>
      <c r="AW12" s="789"/>
      <c r="AX12" s="789"/>
      <c r="AY12" s="789"/>
      <c r="AZ12" s="789"/>
      <c r="BA12" s="789"/>
      <c r="BB12" s="789"/>
      <c r="BC12" s="789"/>
      <c r="BD12" s="789"/>
      <c r="BE12" s="789"/>
      <c r="BF12" s="789"/>
      <c r="BG12" s="789"/>
      <c r="BH12" s="789"/>
      <c r="BI12" s="789"/>
      <c r="BJ12" s="789"/>
      <c r="BK12" s="789"/>
      <c r="BL12" s="789"/>
      <c r="BM12" s="789"/>
      <c r="BN12" s="789"/>
      <c r="BO12" s="789"/>
      <c r="BP12" s="789"/>
      <c r="BQ12" s="789"/>
      <c r="BR12" s="789"/>
      <c r="BS12" s="789"/>
    </row>
    <row r="13" spans="1:71" s="44" customFormat="1" ht="53.45" customHeight="1" x14ac:dyDescent="0.25">
      <c r="A13" s="893"/>
      <c r="B13" s="894"/>
      <c r="C13" s="893" t="s">
        <v>98</v>
      </c>
      <c r="D13" s="893"/>
      <c r="E13" s="893" t="s">
        <v>98</v>
      </c>
      <c r="F13" s="893"/>
      <c r="G13" s="894"/>
      <c r="H13" s="894"/>
      <c r="I13" s="894"/>
      <c r="J13" s="894"/>
      <c r="K13" s="893" t="s">
        <v>144</v>
      </c>
      <c r="L13" s="893"/>
      <c r="M13" s="893"/>
      <c r="N13" s="893"/>
      <c r="O13" s="902"/>
      <c r="P13" s="902"/>
      <c r="Q13" s="905"/>
      <c r="R13" s="905"/>
      <c r="S13" s="789"/>
      <c r="T13" s="789"/>
      <c r="U13" s="789"/>
      <c r="V13" s="789"/>
      <c r="W13" s="789"/>
      <c r="X13" s="789"/>
      <c r="Y13" s="789"/>
      <c r="Z13" s="789"/>
      <c r="AA13" s="789"/>
      <c r="AB13" s="789"/>
      <c r="AC13" s="789"/>
      <c r="AD13" s="789"/>
      <c r="AE13" s="789"/>
      <c r="AF13" s="789"/>
      <c r="AG13" s="789"/>
      <c r="AH13" s="789"/>
      <c r="AI13" s="789"/>
      <c r="AJ13" s="789"/>
      <c r="AK13" s="789"/>
      <c r="AL13" s="789"/>
      <c r="AM13" s="789"/>
      <c r="AN13" s="789"/>
      <c r="AO13" s="789"/>
      <c r="AP13" s="789"/>
      <c r="AQ13" s="789"/>
      <c r="AR13" s="789"/>
      <c r="AS13" s="789"/>
      <c r="AT13" s="789"/>
      <c r="AU13" s="789"/>
      <c r="AV13" s="789"/>
      <c r="AW13" s="789"/>
      <c r="AX13" s="789"/>
      <c r="AY13" s="789"/>
      <c r="AZ13" s="789"/>
      <c r="BA13" s="789"/>
      <c r="BB13" s="789"/>
      <c r="BC13" s="789"/>
      <c r="BD13" s="789"/>
      <c r="BE13" s="789"/>
      <c r="BF13" s="789"/>
      <c r="BG13" s="789"/>
      <c r="BH13" s="789"/>
      <c r="BI13" s="789"/>
      <c r="BJ13" s="789"/>
      <c r="BK13" s="789"/>
      <c r="BL13" s="789"/>
      <c r="BM13" s="789"/>
      <c r="BN13" s="789"/>
      <c r="BO13" s="789"/>
      <c r="BP13" s="789"/>
      <c r="BQ13" s="789"/>
      <c r="BR13" s="789"/>
      <c r="BS13" s="789"/>
    </row>
    <row r="14" spans="1:71" s="81" customFormat="1" ht="24" x14ac:dyDescent="0.25">
      <c r="A14" s="893"/>
      <c r="B14" s="894"/>
      <c r="C14" s="80" t="s">
        <v>255</v>
      </c>
      <c r="D14" s="80" t="s">
        <v>256</v>
      </c>
      <c r="E14" s="80" t="s">
        <v>257</v>
      </c>
      <c r="F14" s="80" t="s">
        <v>258</v>
      </c>
      <c r="G14" s="80" t="s">
        <v>259</v>
      </c>
      <c r="H14" s="80" t="s">
        <v>260</v>
      </c>
      <c r="I14" s="80" t="s">
        <v>261</v>
      </c>
      <c r="J14" s="80" t="s">
        <v>262</v>
      </c>
      <c r="K14" s="80" t="s">
        <v>263</v>
      </c>
      <c r="L14" s="80" t="s">
        <v>264</v>
      </c>
      <c r="M14" s="80" t="s">
        <v>265</v>
      </c>
      <c r="N14" s="80" t="s">
        <v>266</v>
      </c>
      <c r="O14" s="80" t="s">
        <v>149</v>
      </c>
      <c r="P14" s="80" t="s">
        <v>150</v>
      </c>
      <c r="Q14" s="80" t="s">
        <v>151</v>
      </c>
      <c r="R14" s="80" t="s">
        <v>267</v>
      </c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</row>
    <row r="15" spans="1:71" s="44" customFormat="1" ht="30" customHeight="1" x14ac:dyDescent="0.25">
      <c r="A15" s="101">
        <v>1</v>
      </c>
      <c r="B15" s="129" t="s">
        <v>152</v>
      </c>
      <c r="C15" s="537"/>
      <c r="D15" s="537"/>
      <c r="E15" s="537"/>
      <c r="F15" s="537"/>
      <c r="G15" s="537"/>
      <c r="H15" s="537"/>
      <c r="I15" s="537"/>
      <c r="J15" s="537"/>
      <c r="K15" s="537"/>
      <c r="L15" s="537"/>
      <c r="M15" s="537"/>
      <c r="N15" s="539"/>
      <c r="O15" s="537"/>
      <c r="P15" s="537"/>
      <c r="Q15" s="537"/>
      <c r="R15" s="537"/>
      <c r="S15" s="789"/>
      <c r="T15" s="789"/>
      <c r="U15" s="789"/>
      <c r="V15" s="789"/>
      <c r="W15" s="789"/>
      <c r="X15" s="789"/>
      <c r="Y15" s="789"/>
      <c r="Z15" s="789"/>
      <c r="AA15" s="789"/>
      <c r="AB15" s="789"/>
      <c r="AC15" s="789"/>
      <c r="AD15" s="789"/>
      <c r="AE15" s="789"/>
      <c r="AF15" s="789"/>
      <c r="AG15" s="789"/>
      <c r="AH15" s="789"/>
      <c r="AI15" s="789"/>
      <c r="AJ15" s="789"/>
      <c r="AK15" s="789"/>
      <c r="AL15" s="789"/>
      <c r="AM15" s="789"/>
      <c r="AN15" s="789"/>
      <c r="AO15" s="789"/>
      <c r="AP15" s="789"/>
      <c r="AQ15" s="789"/>
      <c r="AR15" s="789"/>
      <c r="AS15" s="789"/>
      <c r="AT15" s="789"/>
      <c r="AU15" s="789"/>
      <c r="AV15" s="789"/>
      <c r="AW15" s="789"/>
      <c r="AX15" s="789"/>
      <c r="AY15" s="789"/>
      <c r="AZ15" s="789"/>
      <c r="BA15" s="789"/>
      <c r="BB15" s="789"/>
      <c r="BC15" s="789"/>
      <c r="BD15" s="789"/>
      <c r="BE15" s="789"/>
      <c r="BF15" s="789"/>
      <c r="BG15" s="789"/>
      <c r="BH15" s="789"/>
      <c r="BI15" s="789"/>
      <c r="BJ15" s="789"/>
      <c r="BK15" s="789"/>
      <c r="BL15" s="789"/>
      <c r="BM15" s="789"/>
      <c r="BN15" s="789"/>
      <c r="BO15" s="789"/>
      <c r="BP15" s="789"/>
      <c r="BQ15" s="789"/>
      <c r="BR15" s="789"/>
      <c r="BS15" s="789"/>
    </row>
    <row r="16" spans="1:71" s="44" customFormat="1" ht="30" customHeight="1" x14ac:dyDescent="0.25">
      <c r="A16" s="101">
        <v>2</v>
      </c>
      <c r="B16" s="129" t="s">
        <v>153</v>
      </c>
      <c r="C16" s="537"/>
      <c r="D16" s="537"/>
      <c r="E16" s="537"/>
      <c r="F16" s="537"/>
      <c r="G16" s="537"/>
      <c r="H16" s="537"/>
      <c r="I16" s="537"/>
      <c r="J16" s="537"/>
      <c r="K16" s="537"/>
      <c r="L16" s="537"/>
      <c r="M16" s="537"/>
      <c r="N16" s="537"/>
      <c r="O16" s="537"/>
      <c r="P16" s="537"/>
      <c r="Q16" s="537"/>
      <c r="R16" s="537"/>
      <c r="S16" s="789"/>
      <c r="T16" s="789"/>
      <c r="U16" s="789"/>
      <c r="V16" s="789"/>
      <c r="W16" s="789"/>
      <c r="X16" s="789"/>
      <c r="Y16" s="789"/>
      <c r="Z16" s="789"/>
      <c r="AA16" s="789"/>
      <c r="AB16" s="789"/>
      <c r="AC16" s="789"/>
      <c r="AD16" s="789"/>
      <c r="AE16" s="789"/>
      <c r="AF16" s="789"/>
      <c r="AG16" s="789"/>
      <c r="AH16" s="789"/>
      <c r="AI16" s="789"/>
      <c r="AJ16" s="789"/>
      <c r="AK16" s="789"/>
      <c r="AL16" s="789"/>
      <c r="AM16" s="789"/>
      <c r="AN16" s="789"/>
      <c r="AO16" s="789"/>
      <c r="AP16" s="789"/>
      <c r="AQ16" s="789"/>
      <c r="AR16" s="789"/>
      <c r="AS16" s="789"/>
      <c r="AT16" s="789"/>
      <c r="AU16" s="789"/>
      <c r="AV16" s="789"/>
      <c r="AW16" s="789"/>
      <c r="AX16" s="789"/>
      <c r="AY16" s="789"/>
      <c r="AZ16" s="789"/>
      <c r="BA16" s="789"/>
      <c r="BB16" s="789"/>
      <c r="BC16" s="789"/>
      <c r="BD16" s="789"/>
      <c r="BE16" s="789"/>
      <c r="BF16" s="789"/>
      <c r="BG16" s="789"/>
      <c r="BH16" s="789"/>
      <c r="BI16" s="789"/>
      <c r="BJ16" s="789"/>
      <c r="BK16" s="789"/>
      <c r="BL16" s="789"/>
      <c r="BM16" s="789"/>
      <c r="BN16" s="789"/>
      <c r="BO16" s="789"/>
      <c r="BP16" s="789"/>
      <c r="BQ16" s="789"/>
      <c r="BR16" s="789"/>
      <c r="BS16" s="789"/>
    </row>
    <row r="17" spans="1:71" s="44" customFormat="1" ht="30" customHeight="1" x14ac:dyDescent="0.25">
      <c r="A17" s="101">
        <v>3</v>
      </c>
      <c r="B17" s="78" t="s">
        <v>155</v>
      </c>
      <c r="C17" s="537"/>
      <c r="D17" s="537"/>
      <c r="E17" s="537"/>
      <c r="F17" s="537"/>
      <c r="G17" s="537"/>
      <c r="H17" s="537"/>
      <c r="I17" s="537"/>
      <c r="J17" s="537"/>
      <c r="K17" s="537"/>
      <c r="L17" s="537"/>
      <c r="M17" s="537"/>
      <c r="N17" s="537"/>
      <c r="O17" s="537"/>
      <c r="P17" s="537"/>
      <c r="Q17" s="537"/>
      <c r="R17" s="537"/>
      <c r="S17" s="789"/>
      <c r="T17" s="789"/>
      <c r="U17" s="789"/>
      <c r="V17" s="789"/>
      <c r="W17" s="789"/>
      <c r="X17" s="789"/>
      <c r="Y17" s="789"/>
      <c r="Z17" s="789"/>
      <c r="AA17" s="789"/>
      <c r="AB17" s="789"/>
      <c r="AC17" s="789"/>
      <c r="AD17" s="789"/>
      <c r="AE17" s="789"/>
      <c r="AF17" s="789"/>
      <c r="AG17" s="789"/>
      <c r="AH17" s="789"/>
      <c r="AI17" s="789"/>
      <c r="AJ17" s="789"/>
      <c r="AK17" s="789"/>
      <c r="AL17" s="789"/>
      <c r="AM17" s="789"/>
      <c r="AN17" s="789"/>
      <c r="AO17" s="789"/>
      <c r="AP17" s="789"/>
      <c r="AQ17" s="789"/>
      <c r="AR17" s="789"/>
      <c r="AS17" s="789"/>
      <c r="AT17" s="789"/>
      <c r="AU17" s="789"/>
      <c r="AV17" s="789"/>
      <c r="AW17" s="789"/>
      <c r="AX17" s="789"/>
      <c r="AY17" s="789"/>
      <c r="AZ17" s="789"/>
      <c r="BA17" s="789"/>
      <c r="BB17" s="789"/>
      <c r="BC17" s="789"/>
      <c r="BD17" s="789"/>
      <c r="BE17" s="789"/>
      <c r="BF17" s="789"/>
      <c r="BG17" s="789"/>
      <c r="BH17" s="789"/>
      <c r="BI17" s="789"/>
      <c r="BJ17" s="789"/>
      <c r="BK17" s="789"/>
      <c r="BL17" s="789"/>
      <c r="BM17" s="789"/>
      <c r="BN17" s="789"/>
      <c r="BO17" s="789"/>
      <c r="BP17" s="789"/>
      <c r="BQ17" s="789"/>
      <c r="BR17" s="789"/>
      <c r="BS17" s="789"/>
    </row>
    <row r="18" spans="1:71" s="45" customFormat="1" ht="30" customHeight="1" x14ac:dyDescent="0.25">
      <c r="A18" s="101">
        <v>4</v>
      </c>
      <c r="B18" s="79" t="s">
        <v>154</v>
      </c>
      <c r="C18" s="540"/>
      <c r="D18" s="540"/>
      <c r="E18" s="540"/>
      <c r="F18" s="540"/>
      <c r="G18" s="540"/>
      <c r="H18" s="540"/>
      <c r="I18" s="540"/>
      <c r="J18" s="540"/>
      <c r="K18" s="540"/>
      <c r="L18" s="540"/>
      <c r="M18" s="540"/>
      <c r="N18" s="540"/>
      <c r="O18" s="540"/>
      <c r="P18" s="540"/>
      <c r="Q18" s="540"/>
      <c r="R18" s="540"/>
      <c r="S18" s="790"/>
      <c r="T18" s="790"/>
      <c r="U18" s="790"/>
      <c r="V18" s="790"/>
      <c r="W18" s="790"/>
      <c r="X18" s="790"/>
      <c r="Y18" s="790"/>
      <c r="Z18" s="790"/>
      <c r="AA18" s="790"/>
      <c r="AB18" s="790"/>
      <c r="AC18" s="790"/>
      <c r="AD18" s="790"/>
      <c r="AE18" s="790"/>
      <c r="AF18" s="790"/>
      <c r="AG18" s="790"/>
      <c r="AH18" s="790"/>
      <c r="AI18" s="790"/>
      <c r="AJ18" s="790"/>
      <c r="AK18" s="790"/>
      <c r="AL18" s="790"/>
      <c r="AM18" s="790"/>
      <c r="AN18" s="790"/>
      <c r="AO18" s="790"/>
      <c r="AP18" s="790"/>
      <c r="AQ18" s="790"/>
      <c r="AR18" s="790"/>
      <c r="AS18" s="790"/>
      <c r="AT18" s="790"/>
      <c r="AU18" s="790"/>
      <c r="AV18" s="790"/>
      <c r="AW18" s="790"/>
      <c r="AX18" s="790"/>
      <c r="AY18" s="790"/>
      <c r="AZ18" s="790"/>
      <c r="BA18" s="790"/>
      <c r="BB18" s="790"/>
      <c r="BC18" s="790"/>
      <c r="BD18" s="790"/>
      <c r="BE18" s="790"/>
      <c r="BF18" s="790"/>
      <c r="BG18" s="790"/>
      <c r="BH18" s="790"/>
      <c r="BI18" s="790"/>
      <c r="BJ18" s="790"/>
      <c r="BK18" s="790"/>
      <c r="BL18" s="790"/>
      <c r="BM18" s="790"/>
      <c r="BN18" s="790"/>
      <c r="BO18" s="790"/>
      <c r="BP18" s="790"/>
      <c r="BQ18" s="790"/>
      <c r="BR18" s="790"/>
      <c r="BS18" s="790"/>
    </row>
    <row r="20" spans="1:71" x14ac:dyDescent="0.25">
      <c r="B20" s="903"/>
      <c r="C20" s="903"/>
      <c r="D20" s="4"/>
      <c r="K20" s="3"/>
      <c r="L20" s="4"/>
    </row>
    <row r="21" spans="1:71" x14ac:dyDescent="0.25">
      <c r="B21" s="3"/>
      <c r="C21" s="69"/>
      <c r="D21" s="69" t="s">
        <v>173</v>
      </c>
      <c r="E21" s="69"/>
      <c r="F21" s="69"/>
      <c r="G21" s="69"/>
      <c r="H21" s="69"/>
      <c r="I21" s="69"/>
      <c r="J21" s="69"/>
      <c r="L21" s="69"/>
      <c r="M21" s="69" t="s">
        <v>34</v>
      </c>
      <c r="N21" s="69"/>
      <c r="O21" s="73"/>
    </row>
    <row r="22" spans="1:71" x14ac:dyDescent="0.25">
      <c r="B22" s="3"/>
      <c r="C22" s="102"/>
      <c r="D22" s="102"/>
      <c r="E22" s="102"/>
      <c r="F22" s="102"/>
      <c r="G22" s="102"/>
      <c r="H22" s="102"/>
      <c r="I22" s="102"/>
      <c r="J22" s="102"/>
      <c r="L22" s="102"/>
      <c r="M22" s="102"/>
      <c r="N22" s="102"/>
      <c r="O22" s="73"/>
    </row>
    <row r="23" spans="1:71" x14ac:dyDescent="0.25">
      <c r="B23" s="899" t="s">
        <v>254</v>
      </c>
      <c r="C23" s="899"/>
      <c r="D23" s="899"/>
      <c r="E23" s="69"/>
      <c r="F23" s="906"/>
      <c r="G23" s="906"/>
      <c r="H23" s="906"/>
      <c r="I23" s="906"/>
      <c r="J23" s="69"/>
      <c r="L23" s="69"/>
      <c r="M23" s="69" t="s">
        <v>36</v>
      </c>
      <c r="O23" s="895"/>
      <c r="P23" s="895"/>
      <c r="Q23" s="895"/>
      <c r="R23" s="895"/>
    </row>
    <row r="24" spans="1:71" x14ac:dyDescent="0.25">
      <c r="B24" s="13"/>
      <c r="C24" s="51"/>
      <c r="D24" s="4"/>
      <c r="E24" s="3"/>
      <c r="F24" s="898" t="s">
        <v>1434</v>
      </c>
      <c r="G24" s="898"/>
      <c r="H24" s="898"/>
      <c r="I24" s="898"/>
    </row>
  </sheetData>
  <sheetProtection algorithmName="SHA-512" hashValue="dSDEOOC2N5ZMJiq/zLZaRhllbHaAz7BCIPBfsAEM4yNo3suHdZPdYkCVg1UirVr7mxhvELR9MivrlH/xVWkP4g==" saltValue="jPO4hYAX9NNrL4ixDQAVSw==" spinCount="100000" sheet="1" selectLockedCells="1"/>
  <mergeCells count="31">
    <mergeCell ref="F24:I24"/>
    <mergeCell ref="B23:D23"/>
    <mergeCell ref="Q1:R1"/>
    <mergeCell ref="K13:N13"/>
    <mergeCell ref="A5:E5"/>
    <mergeCell ref="O12:O13"/>
    <mergeCell ref="P12:P13"/>
    <mergeCell ref="B20:C20"/>
    <mergeCell ref="Q12:Q13"/>
    <mergeCell ref="R12:R13"/>
    <mergeCell ref="B11:B14"/>
    <mergeCell ref="A3:E3"/>
    <mergeCell ref="A11:A14"/>
    <mergeCell ref="F8:K8"/>
    <mergeCell ref="B1:N1"/>
    <mergeCell ref="F23:I23"/>
    <mergeCell ref="O23:R23"/>
    <mergeCell ref="F3:K3"/>
    <mergeCell ref="F4:K4"/>
    <mergeCell ref="F5:K5"/>
    <mergeCell ref="F6:K6"/>
    <mergeCell ref="F7:K7"/>
    <mergeCell ref="C7:D7"/>
    <mergeCell ref="C11:R11"/>
    <mergeCell ref="C12:D12"/>
    <mergeCell ref="K12:N12"/>
    <mergeCell ref="C13:D13"/>
    <mergeCell ref="E12:F12"/>
    <mergeCell ref="E13:F13"/>
    <mergeCell ref="G12:H13"/>
    <mergeCell ref="I12:J13"/>
  </mergeCells>
  <dataValidations count="1">
    <dataValidation type="decimal" allowBlank="1" showInputMessage="1" showErrorMessage="1" errorTitle="Анхаар" error="Зөвхөн тоо оруулна уу." sqref="C15:R18">
      <formula1>-9.99999999999999E+35</formula1>
      <formula2>9.99999999999999E+36</formula2>
    </dataValidation>
  </dataValidations>
  <pageMargins left="0.25" right="0.25" top="0.75" bottom="0.75" header="0.3" footer="0.3"/>
  <pageSetup paperSize="9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L21"/>
  <sheetViews>
    <sheetView showGridLines="0" showRuler="0" zoomScale="110" zoomScaleNormal="110" workbookViewId="0">
      <selection activeCell="D18" sqref="D18:E18"/>
    </sheetView>
  </sheetViews>
  <sheetFormatPr defaultRowHeight="15" x14ac:dyDescent="0.25"/>
  <cols>
    <col min="1" max="1" width="5" style="408" customWidth="1"/>
    <col min="2" max="2" width="9.140625" style="107"/>
    <col min="3" max="3" width="37.85546875" style="107" customWidth="1"/>
    <col min="4" max="4" width="18.7109375" style="107" customWidth="1"/>
    <col min="5" max="5" width="24.140625" style="107" customWidth="1"/>
    <col min="6" max="6" width="14.140625" style="107" customWidth="1"/>
    <col min="7" max="8" width="15.7109375" style="107" customWidth="1"/>
    <col min="9" max="9" width="14.7109375" style="107" customWidth="1"/>
    <col min="10" max="11" width="15.7109375" style="107" customWidth="1"/>
    <col min="12" max="12" width="27.85546875" style="107" customWidth="1"/>
    <col min="13" max="16384" width="9.140625" style="408"/>
  </cols>
  <sheetData>
    <row r="1" spans="1:12" s="117" customFormat="1" ht="99" customHeight="1" x14ac:dyDescent="0.2">
      <c r="C1" s="410"/>
      <c r="E1" s="42" t="s">
        <v>292</v>
      </c>
      <c r="F1" s="42"/>
      <c r="G1" s="42"/>
      <c r="H1" s="42"/>
      <c r="L1" s="385" t="s">
        <v>1173</v>
      </c>
    </row>
    <row r="2" spans="1:12" s="117" customFormat="1" ht="21.75" customHeight="1" x14ac:dyDescent="0.2">
      <c r="B2" s="409" t="s">
        <v>1170</v>
      </c>
      <c r="C2" s="410"/>
      <c r="D2" s="387"/>
      <c r="E2" s="60"/>
      <c r="F2" s="60"/>
      <c r="G2" s="107" t="s">
        <v>1171</v>
      </c>
      <c r="I2" s="915"/>
      <c r="J2" s="915"/>
      <c r="K2" s="418" t="e">
        <f>VLOOKUP($I$2,Source!$X$1:$Y$17,2,0)</f>
        <v>#N/A</v>
      </c>
      <c r="L2" s="418" t="e">
        <f>VLOOKUP($I$2,Source!X1:AB17,3,0)</f>
        <v>#N/A</v>
      </c>
    </row>
    <row r="3" spans="1:12" s="117" customFormat="1" ht="10.5" customHeight="1" x14ac:dyDescent="0.2">
      <c r="B3" s="409"/>
      <c r="C3" s="410"/>
      <c r="D3" s="695" t="s">
        <v>1435</v>
      </c>
      <c r="E3" s="688"/>
      <c r="F3" s="688"/>
      <c r="G3" s="107"/>
      <c r="I3" s="920" t="s">
        <v>1436</v>
      </c>
      <c r="J3" s="920"/>
      <c r="K3" s="418"/>
      <c r="L3" s="418"/>
    </row>
    <row r="4" spans="1:12" s="107" customFormat="1" ht="21.75" customHeight="1" x14ac:dyDescent="0.2">
      <c r="B4" s="119" t="s">
        <v>0</v>
      </c>
      <c r="D4" s="387"/>
      <c r="E4" s="60"/>
      <c r="G4" s="107" t="s">
        <v>283</v>
      </c>
      <c r="I4" s="916"/>
      <c r="J4" s="916"/>
      <c r="K4" s="418" t="e">
        <f>VLOOKUP($I$2,Source!X1:AB17,4,0)</f>
        <v>#N/A</v>
      </c>
      <c r="L4" s="418" t="e">
        <f>VLOOKUP($I$2,Source!X2:AB18,5,0)</f>
        <v>#N/A</v>
      </c>
    </row>
    <row r="5" spans="1:12" s="107" customFormat="1" ht="10.5" customHeight="1" x14ac:dyDescent="0.2">
      <c r="B5" s="689"/>
      <c r="D5" s="695" t="s">
        <v>1429</v>
      </c>
      <c r="E5" s="688"/>
      <c r="I5" s="920" t="s">
        <v>1431</v>
      </c>
      <c r="J5" s="920"/>
      <c r="K5" s="418"/>
      <c r="L5" s="418"/>
    </row>
    <row r="6" spans="1:12" s="107" customFormat="1" ht="21.75" customHeight="1" x14ac:dyDescent="0.25">
      <c r="B6" s="119" t="s">
        <v>1</v>
      </c>
      <c r="D6" s="387"/>
      <c r="E6" s="60"/>
      <c r="G6" s="107" t="s">
        <v>1174</v>
      </c>
      <c r="I6" s="916"/>
      <c r="J6" s="916"/>
      <c r="K6" s="917"/>
      <c r="L6" s="918"/>
    </row>
    <row r="7" spans="1:12" s="107" customFormat="1" ht="10.5" customHeight="1" x14ac:dyDescent="0.25">
      <c r="B7" s="689"/>
      <c r="D7" s="695" t="s">
        <v>1430</v>
      </c>
      <c r="E7" s="688"/>
      <c r="I7" s="921"/>
      <c r="J7" s="921"/>
      <c r="K7" s="686"/>
      <c r="L7" s="687"/>
    </row>
    <row r="8" spans="1:12" ht="65.25" customHeight="1" x14ac:dyDescent="0.25">
      <c r="B8" s="919" t="s">
        <v>1175</v>
      </c>
      <c r="C8" s="919"/>
      <c r="D8" s="919"/>
      <c r="E8" s="919"/>
      <c r="F8" s="919"/>
      <c r="G8" s="919"/>
      <c r="H8" s="919"/>
      <c r="I8" s="919"/>
      <c r="J8" s="919"/>
      <c r="K8" s="919"/>
      <c r="L8" s="919"/>
    </row>
    <row r="9" spans="1:12" s="149" customFormat="1" ht="33" customHeight="1" x14ac:dyDescent="0.25">
      <c r="B9" s="907" t="s">
        <v>136</v>
      </c>
      <c r="C9" s="907" t="s">
        <v>1176</v>
      </c>
      <c r="D9" s="907" t="s">
        <v>1177</v>
      </c>
      <c r="E9" s="907" t="s">
        <v>1178</v>
      </c>
      <c r="F9" s="909" t="s">
        <v>1179</v>
      </c>
      <c r="G9" s="910"/>
      <c r="H9" s="911"/>
      <c r="I9" s="909" t="s">
        <v>1180</v>
      </c>
      <c r="J9" s="910"/>
      <c r="K9" s="911"/>
      <c r="L9" s="922" t="s">
        <v>3</v>
      </c>
    </row>
    <row r="10" spans="1:12" s="149" customFormat="1" ht="40.5" customHeight="1" x14ac:dyDescent="0.25">
      <c r="B10" s="908"/>
      <c r="C10" s="908"/>
      <c r="D10" s="908"/>
      <c r="E10" s="908"/>
      <c r="F10" s="421" t="s">
        <v>4</v>
      </c>
      <c r="G10" s="411" t="s">
        <v>5</v>
      </c>
      <c r="H10" s="411" t="s">
        <v>6</v>
      </c>
      <c r="I10" s="421" t="s">
        <v>4</v>
      </c>
      <c r="J10" s="411" t="s">
        <v>5</v>
      </c>
      <c r="K10" s="411" t="s">
        <v>6</v>
      </c>
      <c r="L10" s="922"/>
    </row>
    <row r="11" spans="1:12" s="149" customFormat="1" ht="13.5" customHeight="1" x14ac:dyDescent="0.25">
      <c r="B11" s="412">
        <v>1</v>
      </c>
      <c r="C11" s="412">
        <v>2</v>
      </c>
      <c r="D11" s="412">
        <v>3</v>
      </c>
      <c r="E11" s="412">
        <v>4</v>
      </c>
      <c r="F11" s="412">
        <v>5</v>
      </c>
      <c r="G11" s="412">
        <v>6</v>
      </c>
      <c r="H11" s="412">
        <v>7</v>
      </c>
      <c r="I11" s="412">
        <v>8</v>
      </c>
      <c r="J11" s="412">
        <v>9</v>
      </c>
      <c r="K11" s="412">
        <v>10</v>
      </c>
      <c r="L11" s="412">
        <v>11</v>
      </c>
    </row>
    <row r="12" spans="1:12" s="149" customFormat="1" x14ac:dyDescent="0.25">
      <c r="A12" s="552"/>
      <c r="B12" s="297">
        <v>1</v>
      </c>
      <c r="C12" s="361"/>
      <c r="D12" s="361"/>
      <c r="E12" s="361"/>
      <c r="F12" s="361"/>
      <c r="G12" s="260"/>
      <c r="H12" s="260"/>
      <c r="I12" s="361"/>
      <c r="J12" s="260"/>
      <c r="K12" s="260"/>
      <c r="L12" s="298"/>
    </row>
    <row r="13" spans="1:12" x14ac:dyDescent="0.25">
      <c r="B13" s="416">
        <v>1</v>
      </c>
    </row>
    <row r="15" spans="1:12" s="403" customFormat="1" ht="14.25" x14ac:dyDescent="0.25"/>
    <row r="16" spans="1:12" s="401" customFormat="1" x14ac:dyDescent="0.25">
      <c r="B16" s="923" t="s">
        <v>1159</v>
      </c>
      <c r="C16" s="923"/>
      <c r="D16" s="399"/>
      <c r="E16" s="400"/>
      <c r="G16" s="399" t="s">
        <v>34</v>
      </c>
      <c r="H16" s="400"/>
      <c r="J16" s="399"/>
    </row>
    <row r="17" spans="2:10" s="403" customFormat="1" ht="14.25" x14ac:dyDescent="0.25">
      <c r="B17" s="402"/>
      <c r="C17" s="404"/>
      <c r="D17" s="405"/>
      <c r="E17" s="404"/>
      <c r="G17" s="405"/>
      <c r="H17" s="404"/>
      <c r="J17" s="405"/>
    </row>
    <row r="18" spans="2:10" s="403" customFormat="1" ht="27" customHeight="1" x14ac:dyDescent="0.25">
      <c r="B18" s="402"/>
      <c r="C18" s="404" t="s">
        <v>1160</v>
      </c>
      <c r="D18" s="914"/>
      <c r="E18" s="914"/>
      <c r="G18" s="405" t="s">
        <v>36</v>
      </c>
      <c r="H18" s="914"/>
      <c r="I18" s="914"/>
      <c r="J18" s="405"/>
    </row>
    <row r="19" spans="2:10" s="403" customFormat="1" ht="13.5" customHeight="1" x14ac:dyDescent="0.25">
      <c r="B19" s="402"/>
      <c r="C19" s="404"/>
      <c r="D19" s="912" t="s">
        <v>1434</v>
      </c>
      <c r="E19" s="912"/>
      <c r="G19" s="405"/>
      <c r="H19" s="395"/>
      <c r="I19" s="395"/>
      <c r="J19" s="405"/>
    </row>
    <row r="20" spans="2:10" s="403" customFormat="1" ht="16.5" customHeight="1" x14ac:dyDescent="0.25">
      <c r="B20" s="407"/>
      <c r="C20" s="402" t="s">
        <v>1172</v>
      </c>
      <c r="D20" s="914"/>
      <c r="E20" s="914"/>
      <c r="F20" s="405"/>
      <c r="G20" s="405"/>
      <c r="H20" s="404"/>
    </row>
    <row r="21" spans="2:10" ht="13.5" customHeight="1" x14ac:dyDescent="0.25">
      <c r="D21" s="913" t="s">
        <v>1437</v>
      </c>
      <c r="E21" s="913"/>
    </row>
  </sheetData>
  <sheetProtection algorithmName="SHA-512" hashValue="EQAnXtyNrAWSu9+lHt3vJtD6eRG/lun7DU6I1xX6EHVxPSMlt65uVS443wxLXkfx7wScDzBPo72rPzUMDVSpGQ==" saltValue="0cIcA0fdEDSdUY8YwlD2jQ==" spinCount="100000" sheet="1" objects="1" scenarios="1" selectLockedCells="1"/>
  <mergeCells count="21">
    <mergeCell ref="D19:E19"/>
    <mergeCell ref="D21:E21"/>
    <mergeCell ref="D20:E20"/>
    <mergeCell ref="I9:K9"/>
    <mergeCell ref="I2:J2"/>
    <mergeCell ref="I4:J4"/>
    <mergeCell ref="I6:J6"/>
    <mergeCell ref="K6:L6"/>
    <mergeCell ref="B8:L8"/>
    <mergeCell ref="I3:J3"/>
    <mergeCell ref="I5:J5"/>
    <mergeCell ref="I7:J7"/>
    <mergeCell ref="L9:L10"/>
    <mergeCell ref="B16:C16"/>
    <mergeCell ref="D18:E18"/>
    <mergeCell ref="H18:I18"/>
    <mergeCell ref="B9:B10"/>
    <mergeCell ref="C9:C10"/>
    <mergeCell ref="D9:D10"/>
    <mergeCell ref="E9:E10"/>
    <mergeCell ref="F9:H9"/>
  </mergeCells>
  <dataValidations count="2">
    <dataValidation type="list" allowBlank="1" showInputMessage="1" showErrorMessage="1" sqref="D4">
      <formula1>a_turul</formula1>
    </dataValidation>
    <dataValidation type="decimal" allowBlank="1" showInputMessage="1" showErrorMessage="1" errorTitle="Анхаар" error="Зөвхөн тоо оруулана уу." sqref="G12:H12 J12:K12">
      <formula1>-9.99999999999999E+36</formula1>
      <formula2>9.99999999999999E+37</formula2>
    </dataValidation>
  </dataValidations>
  <pageMargins left="0.6" right="0.38" top="0.75" bottom="0.75" header="0.3" footer="0.3"/>
  <pageSetup paperSize="9" scale="63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alRep5_add_main_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26"/>
  <sheetViews>
    <sheetView showGridLines="0" zoomScaleNormal="100" zoomScaleSheetLayoutView="40" workbookViewId="0">
      <selection activeCell="C10" sqref="C10:D10"/>
    </sheetView>
  </sheetViews>
  <sheetFormatPr defaultRowHeight="14.25" x14ac:dyDescent="0.25"/>
  <cols>
    <col min="1" max="1" width="6.7109375" style="107" customWidth="1"/>
    <col min="2" max="2" width="42.85546875" style="107" customWidth="1"/>
    <col min="3" max="3" width="19.85546875" style="107" customWidth="1"/>
    <col min="4" max="4" width="21.7109375" style="107" customWidth="1"/>
    <col min="5" max="5" width="20.140625" style="107" customWidth="1"/>
    <col min="6" max="6" width="32.28515625" style="107" customWidth="1"/>
    <col min="7" max="52" width="9.140625" style="771"/>
    <col min="53" max="16384" width="9.140625" style="107"/>
  </cols>
  <sheetData>
    <row r="1" spans="1:52" s="117" customFormat="1" ht="99" customHeight="1" x14ac:dyDescent="0.2">
      <c r="B1" s="924" t="s">
        <v>292</v>
      </c>
      <c r="C1" s="924"/>
      <c r="D1" s="924"/>
      <c r="E1" s="924"/>
      <c r="F1" s="126" t="s">
        <v>1181</v>
      </c>
    </row>
    <row r="2" spans="1:52" s="117" customFormat="1" ht="25.5" customHeight="1" x14ac:dyDescent="0.2">
      <c r="A2" s="409" t="s">
        <v>1170</v>
      </c>
      <c r="B2" s="410"/>
      <c r="C2" s="387"/>
      <c r="D2" s="107" t="s">
        <v>1171</v>
      </c>
    </row>
    <row r="3" spans="1:52" s="117" customFormat="1" ht="9" customHeight="1" x14ac:dyDescent="0.2">
      <c r="A3" s="409"/>
      <c r="B3" s="410"/>
      <c r="C3" s="695" t="s">
        <v>1435</v>
      </c>
      <c r="D3" s="107"/>
      <c r="F3" s="709" t="s">
        <v>1436</v>
      </c>
    </row>
    <row r="4" spans="1:52" ht="25.5" customHeight="1" x14ac:dyDescent="0.25">
      <c r="A4" s="119" t="s">
        <v>0</v>
      </c>
      <c r="C4" s="387"/>
      <c r="D4" s="107" t="s">
        <v>283</v>
      </c>
      <c r="F4" s="711"/>
    </row>
    <row r="5" spans="1:52" ht="9" customHeight="1" x14ac:dyDescent="0.25">
      <c r="A5" s="119"/>
      <c r="C5" s="695" t="s">
        <v>1429</v>
      </c>
      <c r="F5" s="709" t="s">
        <v>1431</v>
      </c>
    </row>
    <row r="6" spans="1:52" ht="25.5" customHeight="1" x14ac:dyDescent="0.25">
      <c r="A6" s="119" t="s">
        <v>1</v>
      </c>
      <c r="C6" s="387"/>
      <c r="D6" s="60"/>
    </row>
    <row r="7" spans="1:52" ht="13.5" customHeight="1" x14ac:dyDescent="0.25">
      <c r="A7" s="119"/>
      <c r="C7" s="695" t="s">
        <v>1430</v>
      </c>
      <c r="D7" s="470"/>
    </row>
    <row r="8" spans="1:52" ht="65.25" customHeight="1" x14ac:dyDescent="0.25">
      <c r="A8" s="926" t="s">
        <v>1182</v>
      </c>
      <c r="B8" s="926"/>
      <c r="C8" s="926"/>
      <c r="D8" s="926"/>
      <c r="E8" s="926"/>
      <c r="F8" s="926"/>
    </row>
    <row r="9" spans="1:52" ht="9.9499999999999993" customHeight="1" x14ac:dyDescent="0.25">
      <c r="A9" s="422"/>
      <c r="B9" s="422"/>
      <c r="C9" s="422"/>
      <c r="D9" s="422"/>
      <c r="E9" s="422"/>
      <c r="F9" s="422"/>
    </row>
    <row r="10" spans="1:52" ht="24.95" customHeight="1" x14ac:dyDescent="0.25">
      <c r="B10" s="423" t="s">
        <v>1183</v>
      </c>
      <c r="C10" s="925"/>
      <c r="D10" s="925"/>
      <c r="E10" s="422"/>
      <c r="F10" s="422"/>
    </row>
    <row r="11" spans="1:52" ht="9.9499999999999993" customHeight="1" x14ac:dyDescent="0.25">
      <c r="A11" s="422"/>
      <c r="B11" s="422"/>
      <c r="C11" s="422"/>
      <c r="D11" s="422"/>
      <c r="E11" s="422"/>
      <c r="F11" s="422"/>
    </row>
    <row r="12" spans="1:52" s="120" customFormat="1" ht="45.75" customHeight="1" x14ac:dyDescent="0.2">
      <c r="A12" s="297" t="s">
        <v>2</v>
      </c>
      <c r="B12" s="424" t="s">
        <v>1184</v>
      </c>
      <c r="C12" s="424" t="s">
        <v>4</v>
      </c>
      <c r="D12" s="424" t="s">
        <v>5</v>
      </c>
      <c r="E12" s="424" t="s">
        <v>6</v>
      </c>
      <c r="F12" s="424" t="s">
        <v>3</v>
      </c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</row>
    <row r="13" spans="1:52" s="120" customFormat="1" ht="18" customHeight="1" x14ac:dyDescent="0.2">
      <c r="A13" s="412">
        <v>1</v>
      </c>
      <c r="B13" s="412">
        <v>2</v>
      </c>
      <c r="C13" s="412">
        <v>3</v>
      </c>
      <c r="D13" s="412">
        <v>4</v>
      </c>
      <c r="E13" s="412">
        <v>5</v>
      </c>
      <c r="F13" s="412">
        <v>6</v>
      </c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</row>
    <row r="14" spans="1:52" s="120" customFormat="1" ht="28.5" x14ac:dyDescent="0.2">
      <c r="A14" s="297">
        <v>1</v>
      </c>
      <c r="B14" s="426" t="s">
        <v>1185</v>
      </c>
      <c r="C14" s="297" t="s">
        <v>1155</v>
      </c>
      <c r="D14" s="260"/>
      <c r="E14" s="260"/>
      <c r="F14" s="361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</row>
    <row r="15" spans="1:52" s="120" customFormat="1" x14ac:dyDescent="0.2">
      <c r="A15" s="297">
        <v>2</v>
      </c>
      <c r="B15" s="426" t="s">
        <v>1186</v>
      </c>
      <c r="C15" s="297" t="s">
        <v>1155</v>
      </c>
      <c r="D15" s="260"/>
      <c r="E15" s="260"/>
      <c r="F15" s="361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</row>
    <row r="16" spans="1:52" s="120" customFormat="1" ht="28.5" x14ac:dyDescent="0.2">
      <c r="A16" s="297">
        <v>3</v>
      </c>
      <c r="B16" s="426" t="s">
        <v>1187</v>
      </c>
      <c r="C16" s="297" t="s">
        <v>1155</v>
      </c>
      <c r="D16" s="260"/>
      <c r="E16" s="260"/>
      <c r="F16" s="361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  <c r="AN16" s="117"/>
      <c r="AO16" s="117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117"/>
    </row>
    <row r="17" spans="1:52" s="120" customFormat="1" ht="28.5" x14ac:dyDescent="0.2">
      <c r="A17" s="297">
        <v>4</v>
      </c>
      <c r="B17" s="426" t="s">
        <v>1188</v>
      </c>
      <c r="C17" s="297" t="s">
        <v>1189</v>
      </c>
      <c r="D17" s="428"/>
      <c r="E17" s="428"/>
      <c r="F17" s="361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  <c r="AN17" s="117"/>
      <c r="AO17" s="11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</row>
    <row r="18" spans="1:52" s="120" customFormat="1" ht="28.5" x14ac:dyDescent="0.2">
      <c r="A18" s="297">
        <v>5</v>
      </c>
      <c r="B18" s="426" t="s">
        <v>1190</v>
      </c>
      <c r="C18" s="429" t="s">
        <v>1191</v>
      </c>
      <c r="D18" s="413"/>
      <c r="E18" s="413"/>
      <c r="F18" s="361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</row>
    <row r="19" spans="1:52" s="120" customFormat="1" x14ac:dyDescent="0.2">
      <c r="A19" s="297">
        <v>6</v>
      </c>
      <c r="B19" s="426" t="s">
        <v>1192</v>
      </c>
      <c r="C19" s="297" t="s">
        <v>7</v>
      </c>
      <c r="D19" s="430">
        <f>(D17*D18)/1000000</f>
        <v>0</v>
      </c>
      <c r="E19" s="430">
        <f>(E17*E18)/1000000</f>
        <v>0</v>
      </c>
      <c r="F19" s="361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</row>
    <row r="21" spans="1:52" x14ac:dyDescent="0.25">
      <c r="A21" s="423" t="s">
        <v>1193</v>
      </c>
    </row>
    <row r="22" spans="1:52" s="403" customFormat="1" x14ac:dyDescent="0.25">
      <c r="G22" s="786"/>
      <c r="H22" s="786"/>
      <c r="I22" s="786"/>
      <c r="J22" s="786"/>
      <c r="K22" s="786"/>
      <c r="L22" s="786"/>
      <c r="M22" s="786"/>
      <c r="N22" s="786"/>
      <c r="O22" s="786"/>
      <c r="P22" s="786"/>
      <c r="Q22" s="786"/>
      <c r="R22" s="786"/>
      <c r="S22" s="786"/>
      <c r="T22" s="786"/>
      <c r="U22" s="786"/>
      <c r="V22" s="786"/>
      <c r="W22" s="786"/>
      <c r="X22" s="786"/>
      <c r="Y22" s="786"/>
      <c r="Z22" s="786"/>
      <c r="AA22" s="786"/>
      <c r="AB22" s="786"/>
      <c r="AC22" s="786"/>
      <c r="AD22" s="786"/>
      <c r="AE22" s="786"/>
      <c r="AF22" s="786"/>
      <c r="AG22" s="786"/>
      <c r="AH22" s="786"/>
      <c r="AI22" s="786"/>
      <c r="AJ22" s="786"/>
      <c r="AK22" s="786"/>
      <c r="AL22" s="786"/>
      <c r="AM22" s="786"/>
      <c r="AN22" s="786"/>
      <c r="AO22" s="786"/>
      <c r="AP22" s="786"/>
      <c r="AQ22" s="786"/>
      <c r="AR22" s="786"/>
      <c r="AS22" s="786"/>
      <c r="AT22" s="786"/>
      <c r="AU22" s="786"/>
      <c r="AV22" s="786"/>
      <c r="AW22" s="786"/>
      <c r="AX22" s="786"/>
      <c r="AY22" s="786"/>
      <c r="AZ22" s="786"/>
    </row>
    <row r="23" spans="1:52" s="401" customFormat="1" ht="15" x14ac:dyDescent="0.25">
      <c r="A23" s="923" t="s">
        <v>1159</v>
      </c>
      <c r="B23" s="923"/>
      <c r="C23" s="399"/>
      <c r="D23" s="399" t="s">
        <v>34</v>
      </c>
      <c r="F23" s="400"/>
      <c r="G23" s="787"/>
      <c r="H23" s="787"/>
      <c r="I23" s="787"/>
      <c r="J23" s="787"/>
      <c r="K23" s="787"/>
      <c r="L23" s="787"/>
      <c r="M23" s="787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</row>
    <row r="24" spans="1:52" s="403" customFormat="1" ht="12" customHeight="1" x14ac:dyDescent="0.25">
      <c r="A24" s="402"/>
      <c r="B24" s="404"/>
      <c r="C24" s="405"/>
      <c r="D24" s="405"/>
      <c r="F24" s="404"/>
      <c r="G24" s="786"/>
      <c r="H24" s="786"/>
      <c r="I24" s="786"/>
      <c r="J24" s="786"/>
      <c r="K24" s="786"/>
      <c r="L24" s="786"/>
      <c r="M24" s="786"/>
      <c r="N24" s="786"/>
      <c r="O24" s="786"/>
      <c r="P24" s="786"/>
      <c r="Q24" s="786"/>
      <c r="R24" s="786"/>
      <c r="S24" s="786"/>
      <c r="T24" s="786"/>
      <c r="U24" s="786"/>
      <c r="V24" s="786"/>
      <c r="W24" s="786"/>
      <c r="X24" s="786"/>
      <c r="Y24" s="786"/>
      <c r="Z24" s="786"/>
      <c r="AA24" s="786"/>
      <c r="AB24" s="786"/>
      <c r="AC24" s="786"/>
      <c r="AD24" s="786"/>
      <c r="AE24" s="786"/>
      <c r="AF24" s="786"/>
      <c r="AG24" s="786"/>
      <c r="AH24" s="786"/>
      <c r="AI24" s="786"/>
      <c r="AJ24" s="786"/>
      <c r="AK24" s="786"/>
      <c r="AL24" s="786"/>
      <c r="AM24" s="786"/>
      <c r="AN24" s="786"/>
      <c r="AO24" s="786"/>
      <c r="AP24" s="786"/>
      <c r="AQ24" s="786"/>
      <c r="AR24" s="786"/>
      <c r="AS24" s="786"/>
      <c r="AT24" s="786"/>
      <c r="AU24" s="786"/>
      <c r="AV24" s="786"/>
      <c r="AW24" s="786"/>
      <c r="AX24" s="786"/>
      <c r="AY24" s="786"/>
      <c r="AZ24" s="786"/>
    </row>
    <row r="25" spans="1:52" s="403" customFormat="1" ht="22.5" customHeight="1" x14ac:dyDescent="0.25">
      <c r="A25" s="402"/>
      <c r="B25" s="404" t="s">
        <v>1160</v>
      </c>
      <c r="C25" s="395"/>
      <c r="E25" s="405" t="s">
        <v>36</v>
      </c>
      <c r="F25" s="395"/>
      <c r="G25" s="786"/>
      <c r="H25" s="786"/>
      <c r="I25" s="786"/>
      <c r="J25" s="786"/>
      <c r="K25" s="786"/>
      <c r="L25" s="786"/>
      <c r="M25" s="786"/>
      <c r="N25" s="786"/>
      <c r="O25" s="786"/>
      <c r="P25" s="786"/>
      <c r="Q25" s="786"/>
      <c r="R25" s="786"/>
      <c r="S25" s="786"/>
      <c r="T25" s="786"/>
      <c r="U25" s="786"/>
      <c r="V25" s="786"/>
      <c r="W25" s="786"/>
      <c r="X25" s="786"/>
      <c r="Y25" s="786"/>
      <c r="Z25" s="786"/>
      <c r="AA25" s="786"/>
      <c r="AB25" s="786"/>
      <c r="AC25" s="786"/>
      <c r="AD25" s="786"/>
      <c r="AE25" s="786"/>
      <c r="AF25" s="786"/>
      <c r="AG25" s="786"/>
      <c r="AH25" s="786"/>
      <c r="AI25" s="786"/>
      <c r="AJ25" s="786"/>
      <c r="AK25" s="786"/>
      <c r="AL25" s="786"/>
      <c r="AM25" s="786"/>
      <c r="AN25" s="786"/>
      <c r="AO25" s="786"/>
      <c r="AP25" s="786"/>
      <c r="AQ25" s="786"/>
      <c r="AR25" s="786"/>
      <c r="AS25" s="786"/>
      <c r="AT25" s="786"/>
      <c r="AU25" s="786"/>
      <c r="AV25" s="786"/>
      <c r="AW25" s="786"/>
      <c r="AX25" s="786"/>
      <c r="AY25" s="786"/>
      <c r="AZ25" s="786"/>
    </row>
    <row r="26" spans="1:52" x14ac:dyDescent="0.25">
      <c r="C26" s="416" t="s">
        <v>1434</v>
      </c>
    </row>
  </sheetData>
  <sheetProtection algorithmName="SHA-512" hashValue="hHoz4TSKd9U2B678AihItekL5AUCVLuJoGpeTVh5cuslN6bNuai3Uz32rPJvBzwIefuR9CUO7aWcTIk5nBpzfQ==" saltValue="6LD1hau0rJILu7fatqBfYA==" spinCount="100000" sheet="1" selectLockedCells="1"/>
  <mergeCells count="4">
    <mergeCell ref="B1:E1"/>
    <mergeCell ref="C10:D10"/>
    <mergeCell ref="A23:B23"/>
    <mergeCell ref="A8:F8"/>
  </mergeCells>
  <dataValidations count="2">
    <dataValidation type="list" allowBlank="1" showInputMessage="1" showErrorMessage="1" sqref="C10:D10">
      <formula1>tsahilgaan_erchim_huch</formula1>
    </dataValidation>
    <dataValidation type="decimal" allowBlank="1" showInputMessage="1" showErrorMessage="1" errorTitle="Анхаар" error="Зөвхөн тоо оруулана уу." sqref="D14:E18">
      <formula1>-9.99999999999999E+36</formula1>
      <formula2>9.99999999999999E+37</formula2>
    </dataValidation>
  </dataValidations>
  <pageMargins left="0.6" right="0.38" top="0.75" bottom="0.75" header="0.3" footer="0.3"/>
  <pageSetup paperSize="9" scale="85" fitToWidth="0" fitToHeight="0" orientation="landscape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H31"/>
  <sheetViews>
    <sheetView showGridLines="0" zoomScaleNormal="100" zoomScalePageLayoutView="80" workbookViewId="0">
      <selection activeCell="C9" sqref="C9:D9"/>
    </sheetView>
  </sheetViews>
  <sheetFormatPr defaultRowHeight="15" x14ac:dyDescent="0.25"/>
  <cols>
    <col min="1" max="1" width="9.140625" style="408"/>
    <col min="2" max="2" width="26.140625" style="408" customWidth="1"/>
    <col min="3" max="3" width="28.5703125" style="408" customWidth="1"/>
    <col min="4" max="4" width="25.85546875" style="408" customWidth="1"/>
    <col min="5" max="5" width="15.7109375" style="408" customWidth="1"/>
    <col min="6" max="6" width="18.28515625" style="408" customWidth="1"/>
    <col min="7" max="7" width="17.5703125" style="408" customWidth="1"/>
    <col min="8" max="11" width="20.7109375" style="408" customWidth="1"/>
    <col min="12" max="12" width="35.28515625" style="408" customWidth="1"/>
    <col min="13" max="13" width="10.7109375" style="712" customWidth="1"/>
    <col min="14" max="15" width="15.7109375" style="712" customWidth="1"/>
    <col min="16" max="16" width="28.7109375" style="712" customWidth="1"/>
    <col min="17" max="20" width="9.140625" style="712"/>
    <col min="21" max="21" width="0" style="712" hidden="1" customWidth="1"/>
    <col min="22" max="60" width="9.140625" style="712"/>
    <col min="61" max="16384" width="9.140625" style="408"/>
  </cols>
  <sheetData>
    <row r="1" spans="1:60" s="117" customFormat="1" ht="99" customHeight="1" x14ac:dyDescent="0.2">
      <c r="B1" s="942" t="s">
        <v>292</v>
      </c>
      <c r="C1" s="942"/>
      <c r="D1" s="942"/>
      <c r="E1" s="942"/>
      <c r="F1" s="42"/>
      <c r="G1" s="42"/>
      <c r="L1" s="126" t="s">
        <v>1194</v>
      </c>
      <c r="M1" s="773"/>
      <c r="N1" s="773"/>
      <c r="O1" s="773"/>
    </row>
    <row r="2" spans="1:60" s="117" customFormat="1" ht="25.5" customHeight="1" x14ac:dyDescent="0.2">
      <c r="A2" s="409" t="s">
        <v>1170</v>
      </c>
      <c r="B2" s="410"/>
      <c r="C2" s="387"/>
      <c r="E2" s="60"/>
      <c r="F2" s="60"/>
      <c r="H2" s="107" t="s">
        <v>1171</v>
      </c>
      <c r="J2" s="387"/>
      <c r="M2" s="773"/>
      <c r="N2" s="773"/>
      <c r="O2" s="773"/>
      <c r="P2" s="385"/>
    </row>
    <row r="3" spans="1:60" s="117" customFormat="1" ht="11.25" customHeight="1" x14ac:dyDescent="0.2">
      <c r="A3" s="409"/>
      <c r="B3" s="410"/>
      <c r="C3" s="695" t="s">
        <v>1435</v>
      </c>
      <c r="E3" s="470"/>
      <c r="F3" s="470"/>
      <c r="H3" s="107"/>
      <c r="J3" s="695" t="s">
        <v>1436</v>
      </c>
      <c r="M3" s="773"/>
      <c r="N3" s="773"/>
      <c r="O3" s="773"/>
      <c r="P3" s="385"/>
    </row>
    <row r="4" spans="1:60" s="107" customFormat="1" ht="25.5" customHeight="1" x14ac:dyDescent="0.2">
      <c r="A4" s="119" t="s">
        <v>0</v>
      </c>
      <c r="C4" s="387"/>
      <c r="D4" s="117"/>
      <c r="H4" s="107" t="s">
        <v>283</v>
      </c>
      <c r="J4" s="387"/>
      <c r="K4" s="117"/>
      <c r="M4" s="771"/>
      <c r="N4" s="771"/>
      <c r="O4" s="771"/>
      <c r="P4" s="771"/>
      <c r="Q4" s="771"/>
      <c r="R4" s="771"/>
      <c r="S4" s="771"/>
      <c r="T4" s="771"/>
      <c r="U4" s="771"/>
      <c r="V4" s="771"/>
      <c r="W4" s="771"/>
      <c r="X4" s="771"/>
      <c r="Y4" s="771"/>
      <c r="Z4" s="771"/>
      <c r="AA4" s="771"/>
      <c r="AB4" s="771"/>
      <c r="AC4" s="771"/>
      <c r="AD4" s="771"/>
      <c r="AE4" s="771"/>
      <c r="AF4" s="771"/>
      <c r="AG4" s="771"/>
      <c r="AH4" s="771"/>
      <c r="AI4" s="771"/>
      <c r="AJ4" s="771"/>
      <c r="AK4" s="771"/>
      <c r="AL4" s="771"/>
      <c r="AM4" s="771"/>
      <c r="AN4" s="771"/>
      <c r="AO4" s="771"/>
      <c r="AP4" s="771"/>
      <c r="AQ4" s="771"/>
      <c r="AR4" s="771"/>
      <c r="AS4" s="771"/>
      <c r="AT4" s="771"/>
      <c r="AU4" s="771"/>
      <c r="AV4" s="771"/>
      <c r="AW4" s="771"/>
      <c r="AX4" s="771"/>
      <c r="AY4" s="771"/>
      <c r="AZ4" s="771"/>
      <c r="BA4" s="771"/>
      <c r="BB4" s="771"/>
      <c r="BC4" s="771"/>
      <c r="BD4" s="771"/>
      <c r="BE4" s="771"/>
      <c r="BF4" s="771"/>
      <c r="BG4" s="771"/>
      <c r="BH4" s="771"/>
    </row>
    <row r="5" spans="1:60" s="107" customFormat="1" ht="12" customHeight="1" x14ac:dyDescent="0.2">
      <c r="A5" s="119"/>
      <c r="C5" s="695" t="s">
        <v>1429</v>
      </c>
      <c r="D5" s="117"/>
      <c r="J5" s="695" t="s">
        <v>1431</v>
      </c>
      <c r="K5" s="117"/>
      <c r="M5" s="771"/>
      <c r="N5" s="771"/>
      <c r="O5" s="771"/>
      <c r="P5" s="771"/>
      <c r="Q5" s="771"/>
      <c r="R5" s="771"/>
      <c r="S5" s="771"/>
      <c r="T5" s="771"/>
      <c r="U5" s="771"/>
      <c r="V5" s="771"/>
      <c r="W5" s="771"/>
      <c r="X5" s="771"/>
      <c r="Y5" s="771"/>
      <c r="Z5" s="771"/>
      <c r="AA5" s="771"/>
      <c r="AB5" s="771"/>
      <c r="AC5" s="771"/>
      <c r="AD5" s="771"/>
      <c r="AE5" s="771"/>
      <c r="AF5" s="771"/>
      <c r="AG5" s="771"/>
      <c r="AH5" s="771"/>
      <c r="AI5" s="771"/>
      <c r="AJ5" s="771"/>
      <c r="AK5" s="771"/>
      <c r="AL5" s="771"/>
      <c r="AM5" s="771"/>
      <c r="AN5" s="771"/>
      <c r="AO5" s="771"/>
      <c r="AP5" s="771"/>
      <c r="AQ5" s="771"/>
      <c r="AR5" s="771"/>
      <c r="AS5" s="771"/>
      <c r="AT5" s="771"/>
      <c r="AU5" s="771"/>
      <c r="AV5" s="771"/>
      <c r="AW5" s="771"/>
      <c r="AX5" s="771"/>
      <c r="AY5" s="771"/>
      <c r="AZ5" s="771"/>
      <c r="BA5" s="771"/>
      <c r="BB5" s="771"/>
      <c r="BC5" s="771"/>
      <c r="BD5" s="771"/>
      <c r="BE5" s="771"/>
      <c r="BF5" s="771"/>
      <c r="BG5" s="771"/>
      <c r="BH5" s="771"/>
    </row>
    <row r="6" spans="1:60" s="107" customFormat="1" ht="27.75" customHeight="1" x14ac:dyDescent="0.2">
      <c r="A6" s="119" t="s">
        <v>1</v>
      </c>
      <c r="C6" s="387"/>
      <c r="D6" s="117"/>
      <c r="H6" s="107" t="s">
        <v>1174</v>
      </c>
      <c r="J6" s="387"/>
      <c r="K6" s="917"/>
      <c r="L6" s="918"/>
      <c r="M6" s="771"/>
      <c r="N6" s="771"/>
      <c r="O6" s="771"/>
      <c r="P6" s="771"/>
      <c r="Q6" s="771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1"/>
      <c r="AF6" s="771"/>
      <c r="AG6" s="771"/>
      <c r="AH6" s="771"/>
      <c r="AI6" s="771"/>
      <c r="AJ6" s="771"/>
      <c r="AK6" s="771"/>
      <c r="AL6" s="771"/>
      <c r="AM6" s="771"/>
      <c r="AN6" s="771"/>
      <c r="AO6" s="771"/>
      <c r="AP6" s="771"/>
      <c r="AQ6" s="771"/>
      <c r="AR6" s="771"/>
      <c r="AS6" s="771"/>
      <c r="AT6" s="771"/>
      <c r="AU6" s="771"/>
      <c r="AV6" s="771"/>
      <c r="AW6" s="771"/>
      <c r="AX6" s="771"/>
      <c r="AY6" s="771"/>
      <c r="AZ6" s="771"/>
      <c r="BA6" s="771"/>
      <c r="BB6" s="771"/>
      <c r="BC6" s="771"/>
      <c r="BD6" s="771"/>
      <c r="BE6" s="771"/>
      <c r="BF6" s="771"/>
      <c r="BG6" s="771"/>
      <c r="BH6" s="771"/>
    </row>
    <row r="7" spans="1:60" s="107" customFormat="1" ht="9.75" customHeight="1" x14ac:dyDescent="0.2">
      <c r="A7" s="119"/>
      <c r="C7" s="695" t="s">
        <v>1430</v>
      </c>
      <c r="D7" s="117"/>
      <c r="J7" s="398"/>
      <c r="K7" s="419"/>
      <c r="L7" s="420"/>
      <c r="M7" s="771"/>
      <c r="N7" s="771"/>
      <c r="O7" s="771"/>
      <c r="P7" s="771"/>
      <c r="Q7" s="771"/>
      <c r="R7" s="771"/>
      <c r="S7" s="771"/>
      <c r="T7" s="771"/>
      <c r="U7" s="771"/>
      <c r="V7" s="771"/>
      <c r="W7" s="771"/>
      <c r="X7" s="771"/>
      <c r="Y7" s="771"/>
      <c r="Z7" s="771"/>
      <c r="AA7" s="771"/>
      <c r="AB7" s="771"/>
      <c r="AC7" s="771"/>
      <c r="AD7" s="771"/>
      <c r="AE7" s="771"/>
      <c r="AF7" s="771"/>
      <c r="AG7" s="771"/>
      <c r="AH7" s="771"/>
      <c r="AI7" s="771"/>
      <c r="AJ7" s="771"/>
      <c r="AK7" s="771"/>
      <c r="AL7" s="771"/>
      <c r="AM7" s="771"/>
      <c r="AN7" s="771"/>
      <c r="AO7" s="771"/>
      <c r="AP7" s="771"/>
      <c r="AQ7" s="771"/>
      <c r="AR7" s="771"/>
      <c r="AS7" s="771"/>
      <c r="AT7" s="771"/>
      <c r="AU7" s="771"/>
      <c r="AV7" s="771"/>
      <c r="AW7" s="771"/>
      <c r="AX7" s="771"/>
      <c r="AY7" s="771"/>
      <c r="AZ7" s="771"/>
      <c r="BA7" s="771"/>
      <c r="BB7" s="771"/>
      <c r="BC7" s="771"/>
      <c r="BD7" s="771"/>
      <c r="BE7" s="771"/>
      <c r="BF7" s="771"/>
      <c r="BG7" s="771"/>
      <c r="BH7" s="771"/>
    </row>
    <row r="8" spans="1:60" ht="65.25" customHeight="1" x14ac:dyDescent="0.25">
      <c r="A8" s="926" t="s">
        <v>1195</v>
      </c>
      <c r="B8" s="926"/>
      <c r="C8" s="926"/>
      <c r="D8" s="926"/>
      <c r="E8" s="926"/>
      <c r="F8" s="926"/>
      <c r="G8" s="926"/>
      <c r="H8" s="926"/>
      <c r="I8" s="926"/>
      <c r="J8" s="926"/>
      <c r="K8" s="926"/>
      <c r="L8" s="926"/>
      <c r="M8" s="782"/>
      <c r="N8" s="782"/>
      <c r="O8" s="782"/>
      <c r="P8" s="782"/>
    </row>
    <row r="9" spans="1:60" s="107" customFormat="1" ht="24.95" customHeight="1" x14ac:dyDescent="0.25">
      <c r="B9" s="423" t="s">
        <v>1196</v>
      </c>
      <c r="C9" s="943"/>
      <c r="D9" s="944"/>
      <c r="E9" s="422"/>
      <c r="F9" s="422"/>
      <c r="G9" s="422"/>
      <c r="H9" s="422"/>
      <c r="I9" s="422"/>
      <c r="J9" s="422"/>
      <c r="K9" s="417"/>
      <c r="L9" s="417"/>
      <c r="M9" s="782"/>
      <c r="N9" s="782"/>
      <c r="O9" s="782"/>
      <c r="P9" s="782"/>
      <c r="Q9" s="783"/>
      <c r="R9" s="783"/>
      <c r="S9" s="783"/>
      <c r="T9" s="783"/>
      <c r="U9" s="771"/>
      <c r="V9" s="771"/>
      <c r="W9" s="771"/>
      <c r="X9" s="771"/>
      <c r="Y9" s="771"/>
      <c r="Z9" s="771"/>
      <c r="AA9" s="771"/>
      <c r="AB9" s="771"/>
      <c r="AC9" s="771"/>
      <c r="AD9" s="771"/>
      <c r="AE9" s="771"/>
      <c r="AF9" s="771"/>
      <c r="AG9" s="771"/>
      <c r="AH9" s="771"/>
      <c r="AI9" s="771"/>
      <c r="AJ9" s="771"/>
      <c r="AK9" s="771"/>
      <c r="AL9" s="771"/>
      <c r="AM9" s="771"/>
      <c r="AN9" s="771"/>
      <c r="AO9" s="771"/>
      <c r="AP9" s="771"/>
      <c r="AQ9" s="771"/>
      <c r="AR9" s="771"/>
      <c r="AS9" s="771"/>
      <c r="AT9" s="771"/>
      <c r="AU9" s="771"/>
      <c r="AV9" s="771"/>
      <c r="AW9" s="771"/>
      <c r="AX9" s="771"/>
      <c r="AY9" s="771"/>
      <c r="AZ9" s="771"/>
      <c r="BA9" s="771"/>
      <c r="BB9" s="771"/>
      <c r="BC9" s="771"/>
      <c r="BD9" s="771"/>
      <c r="BE9" s="771"/>
      <c r="BF9" s="771"/>
      <c r="BG9" s="771"/>
      <c r="BH9" s="771"/>
    </row>
    <row r="10" spans="1:60" ht="24.95" customHeight="1" x14ac:dyDescent="0.25">
      <c r="A10" s="422"/>
      <c r="B10" s="422"/>
      <c r="C10" s="422"/>
      <c r="D10" s="422"/>
      <c r="E10" s="422"/>
      <c r="F10" s="422"/>
      <c r="G10" s="422"/>
      <c r="H10" s="422"/>
      <c r="I10" s="422"/>
      <c r="J10" s="422"/>
      <c r="K10" s="422"/>
      <c r="L10" s="422"/>
      <c r="M10" s="784"/>
      <c r="N10" s="784"/>
      <c r="O10" s="784"/>
      <c r="P10" s="784"/>
    </row>
    <row r="11" spans="1:60" s="120" customFormat="1" ht="52.5" customHeight="1" x14ac:dyDescent="0.2">
      <c r="A11" s="907" t="s">
        <v>2</v>
      </c>
      <c r="B11" s="945" t="s">
        <v>1184</v>
      </c>
      <c r="C11" s="946"/>
      <c r="D11" s="907" t="s">
        <v>1197</v>
      </c>
      <c r="E11" s="907" t="s">
        <v>4</v>
      </c>
      <c r="F11" s="907" t="s">
        <v>5</v>
      </c>
      <c r="G11" s="907" t="s">
        <v>6</v>
      </c>
      <c r="H11" s="909" t="s">
        <v>1198</v>
      </c>
      <c r="I11" s="911"/>
      <c r="J11" s="909" t="s">
        <v>1199</v>
      </c>
      <c r="K11" s="911"/>
      <c r="L11" s="907" t="s">
        <v>3</v>
      </c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  <c r="AM11" s="117"/>
      <c r="AN11" s="117"/>
      <c r="AO11" s="117"/>
      <c r="AP11" s="117"/>
      <c r="AQ11" s="117"/>
      <c r="AR11" s="117"/>
      <c r="AS11" s="117"/>
      <c r="AT11" s="117"/>
      <c r="AU11" s="117"/>
      <c r="AV11" s="117"/>
      <c r="AW11" s="117"/>
      <c r="AX11" s="117"/>
      <c r="AY11" s="117"/>
      <c r="AZ11" s="117"/>
      <c r="BA11" s="117"/>
      <c r="BB11" s="117"/>
      <c r="BC11" s="117"/>
      <c r="BD11" s="117"/>
      <c r="BE11" s="117"/>
      <c r="BF11" s="117"/>
      <c r="BG11" s="117"/>
      <c r="BH11" s="117"/>
    </row>
    <row r="12" spans="1:60" s="120" customFormat="1" ht="37.5" customHeight="1" x14ac:dyDescent="0.2">
      <c r="A12" s="908"/>
      <c r="B12" s="947"/>
      <c r="C12" s="948"/>
      <c r="D12" s="908"/>
      <c r="E12" s="908"/>
      <c r="F12" s="908"/>
      <c r="G12" s="908"/>
      <c r="H12" s="424" t="s">
        <v>5</v>
      </c>
      <c r="I12" s="424" t="s">
        <v>6</v>
      </c>
      <c r="J12" s="424" t="s">
        <v>5</v>
      </c>
      <c r="K12" s="424" t="s">
        <v>6</v>
      </c>
      <c r="L12" s="908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F12" s="117"/>
      <c r="BG12" s="117"/>
      <c r="BH12" s="117"/>
    </row>
    <row r="13" spans="1:60" s="120" customFormat="1" ht="21" customHeight="1" x14ac:dyDescent="0.2">
      <c r="A13" s="412">
        <v>1</v>
      </c>
      <c r="B13" s="412">
        <v>2</v>
      </c>
      <c r="C13" s="412">
        <v>3</v>
      </c>
      <c r="D13" s="412">
        <v>4</v>
      </c>
      <c r="E13" s="412">
        <v>5</v>
      </c>
      <c r="F13" s="412">
        <v>6</v>
      </c>
      <c r="G13" s="412">
        <v>7</v>
      </c>
      <c r="H13" s="412">
        <v>8</v>
      </c>
      <c r="I13" s="412">
        <v>9</v>
      </c>
      <c r="J13" s="412">
        <v>10</v>
      </c>
      <c r="K13" s="412">
        <v>11</v>
      </c>
      <c r="L13" s="412">
        <v>12</v>
      </c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7"/>
      <c r="BF13" s="117"/>
      <c r="BG13" s="117"/>
      <c r="BH13" s="117"/>
    </row>
    <row r="14" spans="1:60" s="120" customFormat="1" ht="16.5" x14ac:dyDescent="0.2">
      <c r="A14" s="424">
        <v>1</v>
      </c>
      <c r="B14" s="927" t="s">
        <v>1200</v>
      </c>
      <c r="C14" s="927"/>
      <c r="D14" s="431"/>
      <c r="E14" s="297" t="s">
        <v>1201</v>
      </c>
      <c r="F14" s="428"/>
      <c r="G14" s="428"/>
      <c r="H14" s="432"/>
      <c r="I14" s="432"/>
      <c r="J14" s="161">
        <f>F14*H14</f>
        <v>0</v>
      </c>
      <c r="K14" s="161">
        <f>G14*I14</f>
        <v>0</v>
      </c>
      <c r="L14" s="361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117"/>
      <c r="BE14" s="117"/>
      <c r="BF14" s="117"/>
      <c r="BG14" s="117"/>
      <c r="BH14" s="117"/>
    </row>
    <row r="15" spans="1:60" s="120" customFormat="1" ht="16.5" x14ac:dyDescent="0.2">
      <c r="A15" s="424">
        <v>2</v>
      </c>
      <c r="B15" s="927" t="s">
        <v>1202</v>
      </c>
      <c r="C15" s="927"/>
      <c r="D15" s="431"/>
      <c r="E15" s="297" t="s">
        <v>1201</v>
      </c>
      <c r="F15" s="428"/>
      <c r="G15" s="428"/>
      <c r="H15" s="432"/>
      <c r="I15" s="432"/>
      <c r="J15" s="161">
        <f>F15*H15</f>
        <v>0</v>
      </c>
      <c r="K15" s="161">
        <f>G15*I15</f>
        <v>0</v>
      </c>
      <c r="L15" s="361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17"/>
      <c r="BE15" s="117"/>
      <c r="BF15" s="117"/>
      <c r="BG15" s="117"/>
      <c r="BH15" s="117"/>
    </row>
    <row r="16" spans="1:60" s="120" customFormat="1" ht="16.5" x14ac:dyDescent="0.2">
      <c r="A16" s="922">
        <v>3</v>
      </c>
      <c r="B16" s="932" t="s">
        <v>1203</v>
      </c>
      <c r="C16" s="433" t="s">
        <v>1204</v>
      </c>
      <c r="D16" s="431"/>
      <c r="E16" s="297" t="s">
        <v>1201</v>
      </c>
      <c r="F16" s="428"/>
      <c r="G16" s="428"/>
      <c r="H16" s="933"/>
      <c r="I16" s="934"/>
      <c r="J16" s="934"/>
      <c r="K16" s="935"/>
      <c r="L16" s="361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  <c r="AN16" s="117"/>
      <c r="AO16" s="117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117"/>
      <c r="BA16" s="117"/>
      <c r="BB16" s="117"/>
      <c r="BC16" s="117"/>
      <c r="BD16" s="117"/>
      <c r="BE16" s="117"/>
      <c r="BF16" s="117"/>
      <c r="BG16" s="117"/>
      <c r="BH16" s="117"/>
    </row>
    <row r="17" spans="1:60" s="120" customFormat="1" ht="16.5" x14ac:dyDescent="0.2">
      <c r="A17" s="922"/>
      <c r="B17" s="932"/>
      <c r="C17" s="433" t="s">
        <v>1205</v>
      </c>
      <c r="D17" s="431"/>
      <c r="E17" s="297" t="s">
        <v>1201</v>
      </c>
      <c r="F17" s="428"/>
      <c r="G17" s="428"/>
      <c r="H17" s="432"/>
      <c r="I17" s="432"/>
      <c r="J17" s="161">
        <f>F17*H17</f>
        <v>0</v>
      </c>
      <c r="K17" s="161">
        <f>G17*I17</f>
        <v>0</v>
      </c>
      <c r="L17" s="361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  <c r="AN17" s="117"/>
      <c r="AO17" s="11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17"/>
      <c r="BE17" s="117"/>
      <c r="BF17" s="117"/>
      <c r="BG17" s="117"/>
      <c r="BH17" s="117"/>
    </row>
    <row r="18" spans="1:60" s="120" customFormat="1" ht="16.5" x14ac:dyDescent="0.2">
      <c r="A18" s="922"/>
      <c r="B18" s="932"/>
      <c r="C18" s="433" t="s">
        <v>1206</v>
      </c>
      <c r="D18" s="930"/>
      <c r="E18" s="297" t="s">
        <v>1201</v>
      </c>
      <c r="F18" s="434">
        <f>SUM(F16:F17)</f>
        <v>0</v>
      </c>
      <c r="G18" s="434">
        <f>SUM(G16:G17)</f>
        <v>0</v>
      </c>
      <c r="H18" s="936"/>
      <c r="I18" s="937"/>
      <c r="J18" s="937"/>
      <c r="K18" s="938"/>
      <c r="L18" s="928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117"/>
      <c r="BE18" s="117"/>
      <c r="BF18" s="117"/>
      <c r="BG18" s="117"/>
      <c r="BH18" s="117"/>
    </row>
    <row r="19" spans="1:60" s="120" customFormat="1" ht="42.75" x14ac:dyDescent="0.2">
      <c r="A19" s="922"/>
      <c r="B19" s="932"/>
      <c r="C19" s="426" t="s">
        <v>1207</v>
      </c>
      <c r="D19" s="931"/>
      <c r="E19" s="297" t="s">
        <v>98</v>
      </c>
      <c r="F19" s="435" t="str">
        <f>IFERROR(F16/F18,"- - -")</f>
        <v>- - -</v>
      </c>
      <c r="G19" s="435" t="str">
        <f>IFERROR(G16/G18,"- - -")</f>
        <v>- - -</v>
      </c>
      <c r="H19" s="939"/>
      <c r="I19" s="940"/>
      <c r="J19" s="940"/>
      <c r="K19" s="941"/>
      <c r="L19" s="929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117"/>
      <c r="BH19" s="117"/>
    </row>
    <row r="20" spans="1:60" s="120" customFormat="1" ht="33" customHeight="1" x14ac:dyDescent="0.2">
      <c r="A20" s="424">
        <v>4</v>
      </c>
      <c r="B20" s="927" t="s">
        <v>1208</v>
      </c>
      <c r="C20" s="927"/>
      <c r="D20" s="431"/>
      <c r="E20" s="297" t="s">
        <v>1201</v>
      </c>
      <c r="F20" s="260"/>
      <c r="G20" s="432"/>
      <c r="H20" s="432"/>
      <c r="I20" s="432"/>
      <c r="J20" s="161">
        <f t="shared" ref="J20:K23" si="0">F20*H20</f>
        <v>0</v>
      </c>
      <c r="K20" s="161">
        <f t="shared" si="0"/>
        <v>0</v>
      </c>
      <c r="L20" s="361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</row>
    <row r="21" spans="1:60" s="120" customFormat="1" ht="33" customHeight="1" x14ac:dyDescent="0.2">
      <c r="A21" s="424">
        <v>5</v>
      </c>
      <c r="B21" s="927" t="s">
        <v>1209</v>
      </c>
      <c r="C21" s="927"/>
      <c r="D21" s="431"/>
      <c r="E21" s="297" t="s">
        <v>1201</v>
      </c>
      <c r="F21" s="260"/>
      <c r="G21" s="432"/>
      <c r="H21" s="432"/>
      <c r="I21" s="432"/>
      <c r="J21" s="161">
        <f t="shared" si="0"/>
        <v>0</v>
      </c>
      <c r="K21" s="161">
        <f t="shared" si="0"/>
        <v>0</v>
      </c>
      <c r="L21" s="361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17"/>
      <c r="AP21" s="117"/>
      <c r="AQ21" s="117"/>
      <c r="AR21" s="117"/>
      <c r="AS21" s="117"/>
      <c r="AT21" s="117"/>
      <c r="AU21" s="117"/>
      <c r="AV21" s="117"/>
      <c r="AW21" s="117"/>
      <c r="AX21" s="117"/>
      <c r="AY21" s="117"/>
      <c r="AZ21" s="117"/>
      <c r="BA21" s="117"/>
      <c r="BB21" s="117"/>
      <c r="BC21" s="117"/>
      <c r="BD21" s="117"/>
      <c r="BE21" s="117"/>
      <c r="BF21" s="117"/>
      <c r="BG21" s="117"/>
      <c r="BH21" s="117"/>
    </row>
    <row r="22" spans="1:60" s="120" customFormat="1" ht="33" customHeight="1" x14ac:dyDescent="0.2">
      <c r="A22" s="424">
        <v>6</v>
      </c>
      <c r="B22" s="927" t="s">
        <v>1210</v>
      </c>
      <c r="C22" s="927"/>
      <c r="D22" s="431"/>
      <c r="E22" s="297" t="s">
        <v>1201</v>
      </c>
      <c r="F22" s="260"/>
      <c r="G22" s="432"/>
      <c r="H22" s="432"/>
      <c r="I22" s="432"/>
      <c r="J22" s="161">
        <f t="shared" si="0"/>
        <v>0</v>
      </c>
      <c r="K22" s="161">
        <f t="shared" si="0"/>
        <v>0</v>
      </c>
      <c r="L22" s="361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117"/>
      <c r="BH22" s="117"/>
    </row>
    <row r="23" spans="1:60" s="120" customFormat="1" ht="33" customHeight="1" x14ac:dyDescent="0.2">
      <c r="A23" s="424">
        <v>7</v>
      </c>
      <c r="B23" s="927" t="s">
        <v>1211</v>
      </c>
      <c r="C23" s="927"/>
      <c r="D23" s="431"/>
      <c r="E23" s="297" t="s">
        <v>1201</v>
      </c>
      <c r="F23" s="260"/>
      <c r="G23" s="432"/>
      <c r="H23" s="432"/>
      <c r="I23" s="432"/>
      <c r="J23" s="161">
        <f t="shared" si="0"/>
        <v>0</v>
      </c>
      <c r="K23" s="161">
        <f t="shared" si="0"/>
        <v>0</v>
      </c>
      <c r="L23" s="361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</row>
    <row r="24" spans="1:60" s="120" customFormat="1" ht="33" customHeight="1" x14ac:dyDescent="0.2">
      <c r="A24" s="424">
        <v>8</v>
      </c>
      <c r="B24" s="922" t="s">
        <v>1212</v>
      </c>
      <c r="C24" s="922"/>
      <c r="D24" s="930"/>
      <c r="E24" s="297" t="s">
        <v>1201</v>
      </c>
      <c r="F24" s="436">
        <f>SUM(F14:F15,F18,F20:F23)</f>
        <v>0</v>
      </c>
      <c r="G24" s="436">
        <f>SUM(G14:G15,G18,G20:G23)</f>
        <v>0</v>
      </c>
      <c r="H24" s="437"/>
      <c r="I24" s="438"/>
      <c r="J24" s="439">
        <f>SUM(J14:J15,J17,J20:J23)</f>
        <v>0</v>
      </c>
      <c r="K24" s="439">
        <f>SUM(K14:K15,K17,K20:K23)</f>
        <v>0</v>
      </c>
      <c r="L24" s="361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117"/>
      <c r="BE24" s="117"/>
      <c r="BF24" s="117"/>
      <c r="BG24" s="117"/>
      <c r="BH24" s="117"/>
    </row>
    <row r="25" spans="1:60" s="120" customFormat="1" ht="33" customHeight="1" x14ac:dyDescent="0.2">
      <c r="A25" s="424">
        <v>9</v>
      </c>
      <c r="B25" s="927" t="s">
        <v>1213</v>
      </c>
      <c r="C25" s="927"/>
      <c r="D25" s="931"/>
      <c r="E25" s="297" t="s">
        <v>1214</v>
      </c>
      <c r="F25" s="260"/>
      <c r="G25" s="260"/>
      <c r="H25" s="440"/>
      <c r="I25" s="441"/>
      <c r="J25" s="441"/>
      <c r="K25" s="442"/>
      <c r="L25" s="443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  <c r="BB25" s="117"/>
      <c r="BC25" s="117"/>
      <c r="BD25" s="117"/>
      <c r="BE25" s="117"/>
      <c r="BF25" s="117"/>
      <c r="BG25" s="117"/>
      <c r="BH25" s="117"/>
    </row>
    <row r="26" spans="1:60" s="415" customFormat="1" x14ac:dyDescent="0.25">
      <c r="M26" s="785"/>
      <c r="N26" s="785"/>
      <c r="O26" s="785"/>
      <c r="P26" s="785"/>
      <c r="Q26" s="785"/>
      <c r="R26" s="785"/>
      <c r="S26" s="785"/>
      <c r="T26" s="785"/>
      <c r="U26" s="785"/>
      <c r="V26" s="785"/>
      <c r="W26" s="785"/>
      <c r="X26" s="785"/>
      <c r="Y26" s="785"/>
      <c r="Z26" s="785"/>
      <c r="AA26" s="785"/>
      <c r="AB26" s="785"/>
      <c r="AC26" s="785"/>
      <c r="AD26" s="785"/>
      <c r="AE26" s="785"/>
      <c r="AF26" s="785"/>
      <c r="AG26" s="785"/>
      <c r="AH26" s="785"/>
      <c r="AI26" s="785"/>
      <c r="AJ26" s="785"/>
      <c r="AK26" s="785"/>
      <c r="AL26" s="785"/>
      <c r="AM26" s="785"/>
      <c r="AN26" s="785"/>
      <c r="AO26" s="785"/>
      <c r="AP26" s="785"/>
      <c r="AQ26" s="785"/>
      <c r="AR26" s="785"/>
      <c r="AS26" s="785"/>
      <c r="AT26" s="785"/>
      <c r="AU26" s="785"/>
      <c r="AV26" s="785"/>
      <c r="AW26" s="785"/>
      <c r="AX26" s="785"/>
      <c r="AY26" s="785"/>
      <c r="AZ26" s="785"/>
      <c r="BA26" s="785"/>
      <c r="BB26" s="785"/>
      <c r="BC26" s="785"/>
      <c r="BD26" s="785"/>
      <c r="BE26" s="785"/>
      <c r="BF26" s="785"/>
      <c r="BG26" s="785"/>
      <c r="BH26" s="785"/>
    </row>
    <row r="27" spans="1:60" s="403" customFormat="1" ht="14.25" x14ac:dyDescent="0.25">
      <c r="M27" s="786"/>
      <c r="N27" s="786"/>
      <c r="O27" s="786"/>
      <c r="P27" s="786"/>
      <c r="Q27" s="786"/>
      <c r="R27" s="786"/>
      <c r="S27" s="786"/>
      <c r="T27" s="786"/>
      <c r="U27" s="786"/>
      <c r="V27" s="786"/>
      <c r="W27" s="786"/>
      <c r="X27" s="786"/>
      <c r="Y27" s="786"/>
      <c r="Z27" s="786"/>
      <c r="AA27" s="786"/>
      <c r="AB27" s="786"/>
      <c r="AC27" s="786"/>
      <c r="AD27" s="786"/>
      <c r="AE27" s="786"/>
      <c r="AF27" s="786"/>
      <c r="AG27" s="786"/>
      <c r="AH27" s="786"/>
      <c r="AI27" s="786"/>
      <c r="AJ27" s="786"/>
      <c r="AK27" s="786"/>
      <c r="AL27" s="786"/>
      <c r="AM27" s="786"/>
      <c r="AN27" s="786"/>
      <c r="AO27" s="786"/>
      <c r="AP27" s="786"/>
      <c r="AQ27" s="786"/>
      <c r="AR27" s="786"/>
      <c r="AS27" s="786"/>
      <c r="AT27" s="786"/>
      <c r="AU27" s="786"/>
      <c r="AV27" s="786"/>
      <c r="AW27" s="786"/>
      <c r="AX27" s="786"/>
      <c r="AY27" s="786"/>
      <c r="AZ27" s="786"/>
      <c r="BA27" s="786"/>
      <c r="BB27" s="786"/>
      <c r="BC27" s="786"/>
      <c r="BD27" s="786"/>
      <c r="BE27" s="786"/>
      <c r="BF27" s="786"/>
      <c r="BG27" s="786"/>
      <c r="BH27" s="786"/>
    </row>
    <row r="28" spans="1:60" s="401" customFormat="1" x14ac:dyDescent="0.25">
      <c r="A28" s="923" t="s">
        <v>1159</v>
      </c>
      <c r="B28" s="923"/>
      <c r="C28" s="399"/>
      <c r="D28" s="400"/>
      <c r="G28" s="400"/>
      <c r="H28" s="399" t="s">
        <v>34</v>
      </c>
      <c r="I28" s="399"/>
      <c r="J28" s="399"/>
      <c r="M28" s="787"/>
      <c r="N28" s="787"/>
      <c r="O28" s="787"/>
      <c r="P28" s="787"/>
      <c r="Q28" s="787"/>
      <c r="R28" s="787"/>
      <c r="S28" s="787"/>
      <c r="T28" s="787"/>
      <c r="U28" s="787"/>
      <c r="V28" s="787"/>
      <c r="W28" s="787"/>
      <c r="X28" s="787"/>
      <c r="Y28" s="787"/>
      <c r="Z28" s="787"/>
      <c r="AA28" s="787"/>
      <c r="AB28" s="787"/>
      <c r="AC28" s="787"/>
      <c r="AD28" s="787"/>
      <c r="AE28" s="787"/>
      <c r="AF28" s="787"/>
      <c r="AG28" s="787"/>
      <c r="AH28" s="787"/>
      <c r="AI28" s="787"/>
      <c r="AJ28" s="787"/>
      <c r="AK28" s="787"/>
      <c r="AL28" s="787"/>
      <c r="AM28" s="787"/>
      <c r="AN28" s="787"/>
      <c r="AO28" s="787"/>
      <c r="AP28" s="787"/>
      <c r="AQ28" s="787"/>
      <c r="AR28" s="787"/>
      <c r="AS28" s="787"/>
      <c r="AT28" s="787"/>
      <c r="AU28" s="787"/>
      <c r="AV28" s="787"/>
      <c r="AW28" s="787"/>
      <c r="AX28" s="787"/>
      <c r="AY28" s="787"/>
      <c r="AZ28" s="787"/>
      <c r="BA28" s="787"/>
      <c r="BB28" s="787"/>
      <c r="BC28" s="787"/>
      <c r="BD28" s="787"/>
      <c r="BE28" s="787"/>
      <c r="BF28" s="787"/>
      <c r="BG28" s="787"/>
      <c r="BH28" s="787"/>
    </row>
    <row r="29" spans="1:60" s="403" customFormat="1" ht="14.25" x14ac:dyDescent="0.25">
      <c r="A29" s="402"/>
      <c r="B29" s="404"/>
      <c r="C29" s="405"/>
      <c r="D29" s="404"/>
      <c r="G29" s="404"/>
      <c r="H29" s="405"/>
      <c r="I29" s="405"/>
      <c r="J29" s="405"/>
      <c r="M29" s="786"/>
      <c r="N29" s="786"/>
      <c r="O29" s="786"/>
      <c r="P29" s="786"/>
      <c r="Q29" s="786"/>
      <c r="R29" s="786"/>
      <c r="S29" s="786"/>
      <c r="T29" s="786"/>
      <c r="U29" s="786"/>
      <c r="V29" s="786"/>
      <c r="W29" s="786"/>
      <c r="X29" s="786"/>
      <c r="Y29" s="786"/>
      <c r="Z29" s="786"/>
      <c r="AA29" s="786"/>
      <c r="AB29" s="786"/>
      <c r="AC29" s="786"/>
      <c r="AD29" s="786"/>
      <c r="AE29" s="786"/>
      <c r="AF29" s="786"/>
      <c r="AG29" s="786"/>
      <c r="AH29" s="786"/>
      <c r="AI29" s="786"/>
      <c r="AJ29" s="786"/>
      <c r="AK29" s="786"/>
      <c r="AL29" s="786"/>
      <c r="AM29" s="786"/>
      <c r="AN29" s="786"/>
      <c r="AO29" s="786"/>
      <c r="AP29" s="786"/>
      <c r="AQ29" s="786"/>
      <c r="AR29" s="786"/>
      <c r="AS29" s="786"/>
      <c r="AT29" s="786"/>
      <c r="AU29" s="786"/>
      <c r="AV29" s="786"/>
      <c r="AW29" s="786"/>
      <c r="AX29" s="786"/>
      <c r="AY29" s="786"/>
      <c r="AZ29" s="786"/>
      <c r="BA29" s="786"/>
      <c r="BB29" s="786"/>
      <c r="BC29" s="786"/>
      <c r="BD29" s="786"/>
      <c r="BE29" s="786"/>
      <c r="BF29" s="786"/>
      <c r="BG29" s="786"/>
      <c r="BH29" s="786"/>
    </row>
    <row r="30" spans="1:60" s="403" customFormat="1" ht="27" customHeight="1" x14ac:dyDescent="0.25">
      <c r="A30" s="402"/>
      <c r="B30" s="404" t="s">
        <v>1160</v>
      </c>
      <c r="C30" s="395"/>
      <c r="D30" s="404"/>
      <c r="G30" s="404"/>
      <c r="H30" s="405" t="s">
        <v>36</v>
      </c>
      <c r="I30" s="395"/>
      <c r="J30" s="405"/>
      <c r="M30" s="786"/>
      <c r="N30" s="786"/>
      <c r="O30" s="786"/>
      <c r="P30" s="786"/>
      <c r="Q30" s="786"/>
      <c r="R30" s="786"/>
      <c r="S30" s="786"/>
      <c r="T30" s="786"/>
      <c r="U30" s="786"/>
      <c r="V30" s="786"/>
      <c r="W30" s="786"/>
      <c r="X30" s="786"/>
      <c r="Y30" s="786"/>
      <c r="Z30" s="786"/>
      <c r="AA30" s="786"/>
      <c r="AB30" s="786"/>
      <c r="AC30" s="786"/>
      <c r="AD30" s="786"/>
      <c r="AE30" s="786"/>
      <c r="AF30" s="786"/>
      <c r="AG30" s="786"/>
      <c r="AH30" s="786"/>
      <c r="AI30" s="786"/>
      <c r="AJ30" s="786"/>
      <c r="AK30" s="786"/>
      <c r="AL30" s="786"/>
      <c r="AM30" s="786"/>
      <c r="AN30" s="786"/>
      <c r="AO30" s="786"/>
      <c r="AP30" s="786"/>
      <c r="AQ30" s="786"/>
      <c r="AR30" s="786"/>
      <c r="AS30" s="786"/>
      <c r="AT30" s="786"/>
      <c r="AU30" s="786"/>
      <c r="AV30" s="786"/>
      <c r="AW30" s="786"/>
      <c r="AX30" s="786"/>
      <c r="AY30" s="786"/>
      <c r="AZ30" s="786"/>
      <c r="BA30" s="786"/>
      <c r="BB30" s="786"/>
      <c r="BC30" s="786"/>
      <c r="BD30" s="786"/>
      <c r="BE30" s="786"/>
      <c r="BF30" s="786"/>
      <c r="BG30" s="786"/>
      <c r="BH30" s="786"/>
    </row>
    <row r="31" spans="1:60" x14ac:dyDescent="0.25">
      <c r="C31" s="704" t="s">
        <v>1434</v>
      </c>
    </row>
  </sheetData>
  <sheetProtection algorithmName="SHA-512" hashValue="/nJkUbM9XPaZqiNDjUXPl3SeZIrBb0+ZZ7Aru+I6l7ig0BDzs0oyfVzZK7EfFuk947s7kSDquHddbc/KUtuqOw==" saltValue="+YWNZDhOVo1Q1z/NxxhrBA==" spinCount="100000" sheet="1" selectLockedCells="1"/>
  <mergeCells count="29">
    <mergeCell ref="B1:E1"/>
    <mergeCell ref="K6:L6"/>
    <mergeCell ref="A8:L8"/>
    <mergeCell ref="C9:D9"/>
    <mergeCell ref="A11:A12"/>
    <mergeCell ref="B11:C12"/>
    <mergeCell ref="D11:D12"/>
    <mergeCell ref="E11:E12"/>
    <mergeCell ref="F11:F12"/>
    <mergeCell ref="G11:G12"/>
    <mergeCell ref="H11:I11"/>
    <mergeCell ref="J11:K11"/>
    <mergeCell ref="L11:L12"/>
    <mergeCell ref="B14:C14"/>
    <mergeCell ref="B15:C15"/>
    <mergeCell ref="A28:B28"/>
    <mergeCell ref="L18:L19"/>
    <mergeCell ref="B20:C20"/>
    <mergeCell ref="B21:C21"/>
    <mergeCell ref="B22:C22"/>
    <mergeCell ref="B23:C23"/>
    <mergeCell ref="B24:C24"/>
    <mergeCell ref="D24:D25"/>
    <mergeCell ref="B25:C25"/>
    <mergeCell ref="A16:A19"/>
    <mergeCell ref="B16:B19"/>
    <mergeCell ref="H16:K16"/>
    <mergeCell ref="D18:D19"/>
    <mergeCell ref="H18:K19"/>
  </mergeCells>
  <dataValidations count="3">
    <dataValidation type="list" allowBlank="1" showInputMessage="1" showErrorMessage="1" sqref="D14:D17 D20:D23">
      <formula1>usnii_eh_uuswer</formula1>
    </dataValidation>
    <dataValidation type="list" allowBlank="1" showInputMessage="1" showErrorMessage="1" sqref="C9:D9">
      <formula1>usnii_eh_saw</formula1>
    </dataValidation>
    <dataValidation type="decimal" allowBlank="1" showInputMessage="1" showErrorMessage="1" errorTitle="Анхаар" error="Зөвхөн тоо оруулана уу." sqref="F14:I15 F16:G17 H17:I17 F20:I23 F25:G25">
      <formula1>-9.99999999999999E+35</formula1>
      <formula2>9.99999999999999E+36</formula2>
    </dataValidation>
  </dataValidations>
  <pageMargins left="0.6" right="0.38" top="0.53" bottom="0.47" header="0.3" footer="0.3"/>
  <pageSetup paperSize="9" scale="52" fitToWidth="0" fitToHeight="0" orientation="landscape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CH25"/>
  <sheetViews>
    <sheetView showGridLines="0" workbookViewId="0">
      <selection activeCell="C14" sqref="C14"/>
    </sheetView>
  </sheetViews>
  <sheetFormatPr defaultRowHeight="15" x14ac:dyDescent="0.25"/>
  <cols>
    <col min="1" max="1" width="4.28515625" customWidth="1"/>
    <col min="3" max="3" width="18.85546875" customWidth="1"/>
    <col min="4" max="4" width="16.85546875" customWidth="1"/>
    <col min="5" max="5" width="15.5703125" customWidth="1"/>
    <col min="6" max="6" width="15" customWidth="1"/>
    <col min="7" max="7" width="15.7109375" customWidth="1"/>
    <col min="8" max="8" width="12.85546875" customWidth="1"/>
    <col min="9" max="9" width="11.7109375" customWidth="1"/>
    <col min="10" max="10" width="13.85546875" customWidth="1"/>
    <col min="11" max="11" width="12.42578125" customWidth="1"/>
    <col min="12" max="12" width="16" customWidth="1"/>
    <col min="13" max="13" width="14.28515625" customWidth="1"/>
    <col min="14" max="14" width="16.28515625" customWidth="1"/>
    <col min="15" max="15" width="14.28515625" customWidth="1"/>
    <col min="16" max="16" width="27.5703125" customWidth="1"/>
    <col min="17" max="86" width="9.140625" style="765"/>
  </cols>
  <sheetData>
    <row r="1" spans="1:40" s="117" customFormat="1" ht="99" customHeight="1" x14ac:dyDescent="0.2">
      <c r="A1" s="952" t="s">
        <v>292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60"/>
      <c r="P1" s="126" t="s">
        <v>1215</v>
      </c>
      <c r="S1" s="768"/>
      <c r="T1" s="768"/>
      <c r="U1" s="768"/>
      <c r="V1" s="768"/>
      <c r="W1" s="768"/>
    </row>
    <row r="2" spans="1:40" ht="18" customHeight="1" x14ac:dyDescent="0.25">
      <c r="B2" s="409" t="s">
        <v>1170</v>
      </c>
      <c r="C2" s="409"/>
      <c r="D2" s="409"/>
      <c r="E2" s="410"/>
      <c r="F2" s="916"/>
      <c r="G2" s="916"/>
      <c r="H2" s="60"/>
      <c r="I2" s="107" t="s">
        <v>1171</v>
      </c>
      <c r="J2" s="107"/>
      <c r="L2" s="387"/>
      <c r="M2" s="387"/>
      <c r="Q2" s="768"/>
      <c r="R2" s="768"/>
      <c r="S2" s="768"/>
      <c r="T2" s="768"/>
      <c r="U2" s="768"/>
      <c r="V2" s="768"/>
      <c r="W2" s="768"/>
      <c r="X2" s="385"/>
      <c r="AM2" s="117"/>
      <c r="AN2" s="117"/>
    </row>
    <row r="3" spans="1:40" ht="9.75" customHeight="1" x14ac:dyDescent="0.25">
      <c r="B3" s="409"/>
      <c r="C3" s="409"/>
      <c r="D3" s="409"/>
      <c r="E3" s="410"/>
      <c r="F3" s="920" t="s">
        <v>1435</v>
      </c>
      <c r="G3" s="920"/>
      <c r="H3" s="470"/>
      <c r="I3" s="107"/>
      <c r="J3" s="107"/>
      <c r="L3" s="695" t="s">
        <v>1436</v>
      </c>
      <c r="M3" s="398"/>
      <c r="Q3" s="768"/>
      <c r="R3" s="768"/>
      <c r="S3" s="768"/>
      <c r="T3" s="768"/>
      <c r="U3" s="768"/>
      <c r="V3" s="768"/>
      <c r="W3" s="768"/>
      <c r="X3" s="385"/>
      <c r="AM3" s="117"/>
      <c r="AN3" s="117"/>
    </row>
    <row r="4" spans="1:40" ht="18" customHeight="1" x14ac:dyDescent="0.25">
      <c r="B4" s="119" t="s">
        <v>0</v>
      </c>
      <c r="C4" s="119"/>
      <c r="D4" s="119"/>
      <c r="F4" s="916"/>
      <c r="G4" s="916"/>
      <c r="I4" s="107" t="s">
        <v>283</v>
      </c>
      <c r="L4" s="387"/>
      <c r="M4" s="387"/>
      <c r="Y4" s="766"/>
      <c r="Z4" s="766"/>
      <c r="AA4" s="766"/>
    </row>
    <row r="5" spans="1:40" ht="9" customHeight="1" x14ac:dyDescent="0.25">
      <c r="B5" s="119"/>
      <c r="C5" s="119"/>
      <c r="D5" s="119"/>
      <c r="F5" s="920" t="s">
        <v>1429</v>
      </c>
      <c r="G5" s="920"/>
      <c r="I5" s="107"/>
      <c r="L5" s="695" t="s">
        <v>1431</v>
      </c>
      <c r="M5" s="398"/>
      <c r="Y5" s="766"/>
      <c r="Z5" s="766"/>
      <c r="AA5" s="766"/>
    </row>
    <row r="6" spans="1:40" ht="18" customHeight="1" x14ac:dyDescent="0.25">
      <c r="B6" s="119" t="s">
        <v>1</v>
      </c>
      <c r="C6" s="119"/>
      <c r="D6" s="119"/>
      <c r="F6" s="916"/>
      <c r="G6" s="916"/>
      <c r="Y6" s="766"/>
      <c r="Z6" s="766"/>
      <c r="AA6" s="766"/>
    </row>
    <row r="7" spans="1:40" ht="6.75" customHeight="1" x14ac:dyDescent="0.25">
      <c r="B7" s="119"/>
      <c r="C7" s="119"/>
      <c r="D7" s="119"/>
      <c r="F7" s="920" t="s">
        <v>1430</v>
      </c>
      <c r="G7" s="920"/>
      <c r="Y7" s="766"/>
      <c r="Z7" s="766"/>
      <c r="AA7" s="766"/>
    </row>
    <row r="8" spans="1:40" ht="27.75" x14ac:dyDescent="0.25">
      <c r="B8" s="1"/>
      <c r="C8" s="142"/>
      <c r="D8" s="142"/>
    </row>
    <row r="9" spans="1:40" ht="26.25" x14ac:dyDescent="0.4">
      <c r="F9" s="444" t="s">
        <v>1216</v>
      </c>
    </row>
    <row r="10" spans="1:40" ht="15.75" thickBot="1" x14ac:dyDescent="0.3"/>
    <row r="11" spans="1:40" ht="38.25" customHeight="1" x14ac:dyDescent="0.25">
      <c r="B11" s="445" t="s">
        <v>136</v>
      </c>
      <c r="C11" s="953" t="s">
        <v>1217</v>
      </c>
      <c r="D11" s="954"/>
      <c r="E11" s="954"/>
      <c r="F11" s="955"/>
      <c r="G11" s="953" t="s">
        <v>1218</v>
      </c>
      <c r="H11" s="954"/>
      <c r="I11" s="955"/>
      <c r="J11" s="953" t="s">
        <v>1219</v>
      </c>
      <c r="K11" s="954"/>
      <c r="L11" s="955"/>
      <c r="M11" s="953" t="s">
        <v>1220</v>
      </c>
      <c r="N11" s="954"/>
      <c r="O11" s="955"/>
      <c r="P11" s="446" t="s">
        <v>3</v>
      </c>
    </row>
    <row r="12" spans="1:40" ht="25.5" x14ac:dyDescent="0.25">
      <c r="B12" s="447"/>
      <c r="C12" s="389" t="s">
        <v>1221</v>
      </c>
      <c r="D12" s="389" t="s">
        <v>1222</v>
      </c>
      <c r="E12" s="389" t="s">
        <v>1223</v>
      </c>
      <c r="F12" s="389" t="s">
        <v>1224</v>
      </c>
      <c r="G12" s="389" t="s">
        <v>4</v>
      </c>
      <c r="H12" s="389" t="s">
        <v>1225</v>
      </c>
      <c r="I12" s="389" t="s">
        <v>1226</v>
      </c>
      <c r="J12" s="389" t="s">
        <v>1227</v>
      </c>
      <c r="K12" s="389" t="s">
        <v>1228</v>
      </c>
      <c r="L12" s="389" t="s">
        <v>1229</v>
      </c>
      <c r="M12" s="389" t="s">
        <v>4</v>
      </c>
      <c r="N12" s="389" t="s">
        <v>93</v>
      </c>
      <c r="O12" s="389" t="s">
        <v>1230</v>
      </c>
      <c r="P12" s="448"/>
    </row>
    <row r="13" spans="1:40" x14ac:dyDescent="0.25">
      <c r="B13" s="449">
        <v>1</v>
      </c>
      <c r="C13" s="390">
        <v>2</v>
      </c>
      <c r="D13" s="390">
        <v>3</v>
      </c>
      <c r="E13" s="390">
        <v>4</v>
      </c>
      <c r="F13" s="390">
        <v>5</v>
      </c>
      <c r="G13" s="390">
        <v>6</v>
      </c>
      <c r="H13" s="390">
        <v>7</v>
      </c>
      <c r="I13" s="390">
        <v>8</v>
      </c>
      <c r="J13" s="390">
        <v>9</v>
      </c>
      <c r="K13" s="390">
        <v>10</v>
      </c>
      <c r="L13" s="390">
        <v>11</v>
      </c>
      <c r="M13" s="390">
        <v>12</v>
      </c>
      <c r="N13" s="390">
        <v>13</v>
      </c>
      <c r="O13" s="390">
        <v>14</v>
      </c>
      <c r="P13" s="450">
        <v>15</v>
      </c>
    </row>
    <row r="14" spans="1:40" x14ac:dyDescent="0.25">
      <c r="B14" s="371">
        <v>1</v>
      </c>
      <c r="C14" s="708"/>
      <c r="D14" s="708"/>
      <c r="E14" s="350"/>
      <c r="F14" s="351"/>
      <c r="G14" s="375"/>
      <c r="H14" s="304"/>
      <c r="I14" s="304"/>
      <c r="J14" s="351"/>
      <c r="K14" s="351"/>
      <c r="L14" s="351"/>
      <c r="M14" s="297" t="s">
        <v>1155</v>
      </c>
      <c r="N14" s="260"/>
      <c r="O14" s="303">
        <f>$I14*$N14</f>
        <v>0</v>
      </c>
      <c r="P14" s="372"/>
      <c r="Q14" s="778" t="e">
        <f>VLOOKUP($C$14,Source!$AY$1:$AZ$15,2,0)</f>
        <v>#N/A</v>
      </c>
      <c r="AA14" s="117"/>
    </row>
    <row r="15" spans="1:40" ht="21.75" customHeight="1" x14ac:dyDescent="0.25">
      <c r="B15" s="949" t="s">
        <v>1231</v>
      </c>
      <c r="C15" s="950"/>
      <c r="D15" s="950"/>
      <c r="E15" s="950"/>
      <c r="F15" s="950"/>
      <c r="G15" s="950"/>
      <c r="H15" s="950"/>
      <c r="I15" s="950"/>
      <c r="J15" s="950"/>
      <c r="K15" s="950"/>
      <c r="L15" s="950"/>
      <c r="M15" s="950"/>
      <c r="N15" s="951"/>
      <c r="O15" s="303">
        <f ca="1">SUM(INDIRECT("$O$14:$o"&amp;ROW()-1))</f>
        <v>0</v>
      </c>
      <c r="P15" s="350"/>
      <c r="Q15" s="778"/>
      <c r="AA15" s="117"/>
    </row>
    <row r="16" spans="1:40" x14ac:dyDescent="0.25">
      <c r="B16" s="167"/>
      <c r="C16" s="451"/>
      <c r="D16" s="451"/>
      <c r="E16" s="451"/>
      <c r="F16" s="451"/>
      <c r="G16" s="125"/>
      <c r="H16" s="451"/>
      <c r="I16" s="451"/>
      <c r="J16" s="451"/>
      <c r="K16" s="451"/>
      <c r="L16" s="451"/>
      <c r="M16" s="144"/>
      <c r="N16" s="144"/>
      <c r="O16" s="451"/>
      <c r="P16" s="451"/>
    </row>
    <row r="17" spans="2:16" x14ac:dyDescent="0.25">
      <c r="B17" s="167"/>
      <c r="C17" s="120" t="s">
        <v>1232</v>
      </c>
      <c r="D17" s="451"/>
      <c r="E17" s="451"/>
      <c r="F17" s="451"/>
      <c r="G17" s="125"/>
      <c r="H17" s="451"/>
      <c r="I17" s="451"/>
      <c r="J17" s="451"/>
      <c r="K17" s="451"/>
      <c r="L17" s="451"/>
      <c r="M17" s="144"/>
      <c r="N17" s="144"/>
      <c r="O17" s="451"/>
      <c r="P17" s="451"/>
    </row>
    <row r="18" spans="2:16" x14ac:dyDescent="0.25">
      <c r="B18" s="167"/>
      <c r="D18" s="167"/>
      <c r="E18" s="167"/>
      <c r="F18" s="167"/>
      <c r="G18" s="425"/>
      <c r="H18" s="167"/>
      <c r="I18" s="167"/>
      <c r="J18" s="167"/>
      <c r="K18" s="167"/>
      <c r="L18" s="167"/>
      <c r="M18" s="427"/>
      <c r="N18" s="427"/>
      <c r="O18" s="167"/>
      <c r="P18" s="167"/>
    </row>
    <row r="20" spans="2:16" x14ac:dyDescent="0.25">
      <c r="C20" s="923" t="s">
        <v>1159</v>
      </c>
      <c r="D20" s="923"/>
      <c r="E20" s="399"/>
      <c r="F20" s="400"/>
      <c r="G20" s="401"/>
      <c r="H20" s="401"/>
      <c r="I20" s="400"/>
      <c r="J20" s="399" t="s">
        <v>34</v>
      </c>
      <c r="K20" s="399"/>
      <c r="L20" s="452"/>
      <c r="N20" s="452"/>
      <c r="O20" s="142"/>
    </row>
    <row r="21" spans="2:16" x14ac:dyDescent="0.25">
      <c r="C21" s="402"/>
      <c r="D21" s="404"/>
      <c r="E21" s="405"/>
      <c r="F21" s="404"/>
      <c r="G21" s="403"/>
      <c r="H21" s="403"/>
      <c r="I21" s="404"/>
      <c r="J21" s="405"/>
      <c r="K21" s="405"/>
      <c r="L21" s="452"/>
      <c r="N21" s="452"/>
      <c r="O21" s="142"/>
    </row>
    <row r="22" spans="2:16" x14ac:dyDescent="0.25">
      <c r="C22" s="402"/>
      <c r="D22" s="404" t="s">
        <v>1160</v>
      </c>
      <c r="F22" s="395"/>
      <c r="G22" s="403"/>
      <c r="H22" s="403"/>
      <c r="I22" s="404"/>
      <c r="J22" s="405" t="s">
        <v>36</v>
      </c>
      <c r="K22" s="395"/>
      <c r="L22" s="452"/>
      <c r="N22" s="452"/>
      <c r="O22" s="142"/>
    </row>
    <row r="23" spans="2:16" x14ac:dyDescent="0.25">
      <c r="F23" s="614" t="s">
        <v>1434</v>
      </c>
    </row>
    <row r="24" spans="2:16" x14ac:dyDescent="0.25">
      <c r="D24" s="120" t="s">
        <v>1172</v>
      </c>
      <c r="E24" s="120"/>
      <c r="F24" s="395"/>
    </row>
    <row r="25" spans="2:16" x14ac:dyDescent="0.25">
      <c r="F25" s="614" t="s">
        <v>1438</v>
      </c>
    </row>
  </sheetData>
  <sheetProtection algorithmName="SHA-512" hashValue="n//WyEs0AuW+74rq1tiTzu8RPJUpZk9lh4kFwJG7b5UE4Do1vMrCenbdbgJE2AihA8uT6YnadAAIHQaOY2dzGA==" saltValue="W3swPmEVkE41GpksS7PqKw==" spinCount="100000" sheet="1" objects="1" scenarios="1" selectLockedCells="1"/>
  <mergeCells count="13">
    <mergeCell ref="B15:N15"/>
    <mergeCell ref="C20:D20"/>
    <mergeCell ref="A1:N1"/>
    <mergeCell ref="F2:G2"/>
    <mergeCell ref="F4:G4"/>
    <mergeCell ref="F6:G6"/>
    <mergeCell ref="C11:F11"/>
    <mergeCell ref="G11:I11"/>
    <mergeCell ref="J11:L11"/>
    <mergeCell ref="M11:O11"/>
    <mergeCell ref="F3:G3"/>
    <mergeCell ref="F5:G5"/>
    <mergeCell ref="F7:G7"/>
  </mergeCells>
  <dataValidations count="6">
    <dataValidation type="list" allowBlank="1" showInputMessage="1" showErrorMessage="1" sqref="L14">
      <formula1>ajilgaa_yawuulsan_jil</formula1>
    </dataValidation>
    <dataValidation type="list" allowBlank="1" showInputMessage="1" showErrorMessage="1" sqref="J14:K14">
      <formula1>tehnik_uild_on</formula1>
    </dataValidation>
    <dataValidation type="list" allowBlank="1" showInputMessage="1" showErrorMessage="1" sqref="F14">
      <formula1>tehnikiin_uls</formula1>
    </dataValidation>
    <dataValidation type="list" allowBlank="1" showInputMessage="1" showErrorMessage="1" sqref="C14">
      <formula1>tehnik_7</formula1>
    </dataValidation>
    <dataValidation type="decimal" allowBlank="1" showInputMessage="1" showErrorMessage="1" errorTitle="Анхаар" error="Зөвхөн тоо оруулана уу." sqref="H14:I14 N14">
      <formula1>-9.99999999999999E+32</formula1>
      <formula2>9.99999999999999E+33</formula2>
    </dataValidation>
    <dataValidation type="list" allowBlank="1" showInputMessage="1" showErrorMessage="1" sqref="D14">
      <formula1>INDIRECT($Q14)</formula1>
    </dataValidation>
  </dataValidations>
  <pageMargins left="0.47" right="0.41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alRep7_add_row">
                <anchor moveWithCells="1" sizeWithCells="1">
                  <from>
                    <xdr:col>0</xdr:col>
                    <xdr:colOff>38100</xdr:colOff>
                    <xdr:row>13</xdr:row>
                    <xdr:rowOff>28575</xdr:rowOff>
                  </from>
                  <to>
                    <xdr:col>0</xdr:col>
                    <xdr:colOff>228600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B1:BB26"/>
  <sheetViews>
    <sheetView showGridLines="0" topLeftCell="A2" zoomScaleNormal="100" workbookViewId="0">
      <selection activeCell="C17" sqref="C17"/>
    </sheetView>
  </sheetViews>
  <sheetFormatPr defaultRowHeight="14.25" x14ac:dyDescent="0.2"/>
  <cols>
    <col min="1" max="1" width="4.28515625" style="120" customWidth="1"/>
    <col min="2" max="2" width="5.7109375" style="120" customWidth="1"/>
    <col min="3" max="3" width="19.5703125" style="120" customWidth="1"/>
    <col min="4" max="4" width="17.140625" style="120" customWidth="1"/>
    <col min="5" max="5" width="17.28515625" style="120" customWidth="1"/>
    <col min="6" max="6" width="18.28515625" style="120" customWidth="1"/>
    <col min="7" max="8" width="9.140625" style="120"/>
    <col min="9" max="9" width="16.140625" style="120" customWidth="1"/>
    <col min="10" max="10" width="15.28515625" style="120" customWidth="1"/>
    <col min="11" max="11" width="15.5703125" style="120" customWidth="1"/>
    <col min="12" max="12" width="16.85546875" style="120" customWidth="1"/>
    <col min="13" max="13" width="11.7109375" style="120" customWidth="1"/>
    <col min="14" max="14" width="18.5703125" style="120" customWidth="1"/>
    <col min="15" max="15" width="15.42578125" style="120" customWidth="1"/>
    <col min="16" max="16" width="18.42578125" style="120" customWidth="1"/>
    <col min="17" max="17" width="13.85546875" style="120" customWidth="1"/>
    <col min="18" max="18" width="22.5703125" style="120" customWidth="1"/>
    <col min="19" max="38" width="9.140625" style="120"/>
    <col min="39" max="54" width="9.140625" style="117"/>
    <col min="55" max="16384" width="9.140625" style="120"/>
  </cols>
  <sheetData>
    <row r="1" spans="2:54" s="117" customFormat="1" ht="99" customHeight="1" x14ac:dyDescent="0.2">
      <c r="C1" s="962" t="s">
        <v>292</v>
      </c>
      <c r="D1" s="962"/>
      <c r="E1" s="962"/>
      <c r="F1" s="962"/>
      <c r="G1" s="962"/>
      <c r="H1" s="962"/>
      <c r="I1" s="962"/>
      <c r="J1" s="962"/>
      <c r="K1" s="962"/>
      <c r="L1" s="962"/>
      <c r="M1" s="962"/>
      <c r="N1" s="962"/>
      <c r="O1" s="60"/>
      <c r="Q1" s="60"/>
      <c r="R1" s="126" t="s">
        <v>1445</v>
      </c>
      <c r="S1" s="60"/>
      <c r="T1" s="60"/>
      <c r="U1" s="60"/>
      <c r="V1" s="60"/>
      <c r="W1" s="60"/>
    </row>
    <row r="4" spans="2:54" s="107" customFormat="1" ht="26.25" x14ac:dyDescent="0.4">
      <c r="B4" s="119" t="s">
        <v>0</v>
      </c>
      <c r="E4" s="387"/>
      <c r="F4" s="444"/>
      <c r="G4" s="969" t="s">
        <v>283</v>
      </c>
      <c r="H4" s="969"/>
      <c r="I4" s="811"/>
      <c r="AM4" s="409"/>
      <c r="AN4" s="409"/>
      <c r="AO4" s="409"/>
      <c r="AP4" s="409"/>
      <c r="AQ4" s="409"/>
      <c r="AR4" s="409"/>
      <c r="AS4" s="409"/>
      <c r="AT4" s="409"/>
      <c r="AU4" s="409"/>
      <c r="AV4" s="409"/>
      <c r="AW4" s="409"/>
      <c r="AX4" s="409"/>
      <c r="AY4" s="409"/>
      <c r="AZ4" s="409"/>
      <c r="BA4" s="409"/>
      <c r="BB4" s="409"/>
    </row>
    <row r="5" spans="2:54" s="107" customFormat="1" ht="6" customHeight="1" x14ac:dyDescent="0.4">
      <c r="B5" s="119"/>
      <c r="E5" s="695" t="s">
        <v>1429</v>
      </c>
      <c r="F5" s="444"/>
      <c r="I5" s="416" t="s">
        <v>1431</v>
      </c>
      <c r="AM5" s="409"/>
      <c r="AN5" s="409"/>
      <c r="AO5" s="409"/>
      <c r="AP5" s="409"/>
      <c r="AQ5" s="409"/>
      <c r="AR5" s="409"/>
      <c r="AS5" s="409"/>
      <c r="AT5" s="409"/>
      <c r="AU5" s="409"/>
      <c r="AV5" s="409"/>
      <c r="AW5" s="409"/>
      <c r="AX5" s="409"/>
      <c r="AY5" s="409"/>
      <c r="AZ5" s="409"/>
      <c r="BA5" s="409"/>
      <c r="BB5" s="409"/>
    </row>
    <row r="6" spans="2:54" s="107" customFormat="1" ht="21.75" customHeight="1" x14ac:dyDescent="0.25">
      <c r="B6" s="119" t="s">
        <v>1</v>
      </c>
      <c r="E6" s="387"/>
      <c r="AM6" s="409"/>
      <c r="AN6" s="409"/>
      <c r="AO6" s="409"/>
      <c r="AP6" s="409"/>
      <c r="AQ6" s="409"/>
      <c r="AR6" s="409"/>
      <c r="AS6" s="409"/>
      <c r="AT6" s="409"/>
      <c r="AU6" s="409"/>
      <c r="AV6" s="409"/>
      <c r="AW6" s="409"/>
      <c r="AX6" s="409"/>
      <c r="AY6" s="409"/>
      <c r="AZ6" s="409"/>
      <c r="BA6" s="409"/>
      <c r="BB6" s="409"/>
    </row>
    <row r="7" spans="2:54" s="107" customFormat="1" ht="9" customHeight="1" x14ac:dyDescent="0.25">
      <c r="B7" s="119"/>
      <c r="E7" s="695" t="s">
        <v>1430</v>
      </c>
      <c r="AM7" s="409"/>
      <c r="AN7" s="409"/>
      <c r="AO7" s="409"/>
      <c r="AP7" s="409"/>
      <c r="AQ7" s="409"/>
      <c r="AR7" s="409"/>
      <c r="AS7" s="409"/>
      <c r="AT7" s="409"/>
      <c r="AU7" s="409"/>
      <c r="AV7" s="409"/>
      <c r="AW7" s="409"/>
      <c r="AX7" s="409"/>
      <c r="AY7" s="409"/>
      <c r="AZ7" s="409"/>
      <c r="BA7" s="409"/>
      <c r="BB7" s="409"/>
    </row>
    <row r="10" spans="2:54" ht="26.25" x14ac:dyDescent="0.4">
      <c r="B10" s="963" t="s">
        <v>1427</v>
      </c>
      <c r="C10" s="963"/>
      <c r="D10" s="963"/>
      <c r="E10" s="963"/>
      <c r="F10" s="963"/>
      <c r="G10" s="963"/>
      <c r="H10" s="963"/>
      <c r="I10" s="963"/>
      <c r="J10" s="963"/>
      <c r="K10" s="963"/>
      <c r="L10" s="963"/>
      <c r="M10" s="963"/>
      <c r="N10" s="963"/>
      <c r="O10" s="963"/>
      <c r="P10" s="963"/>
      <c r="Q10" s="963"/>
      <c r="R10" s="963"/>
    </row>
    <row r="11" spans="2:54" ht="15" customHeight="1" x14ac:dyDescent="0.25">
      <c r="D11" s="453"/>
      <c r="E11" s="453"/>
      <c r="F11" s="453"/>
      <c r="G11" s="453"/>
      <c r="H11" s="453"/>
    </row>
    <row r="13" spans="2:54" ht="15" thickBot="1" x14ac:dyDescent="0.25"/>
    <row r="14" spans="2:54" s="142" customFormat="1" ht="35.25" customHeight="1" x14ac:dyDescent="0.25">
      <c r="B14" s="964" t="s">
        <v>2</v>
      </c>
      <c r="C14" s="966" t="s">
        <v>1217</v>
      </c>
      <c r="D14" s="966"/>
      <c r="E14" s="966"/>
      <c r="F14" s="966"/>
      <c r="G14" s="966" t="s">
        <v>1233</v>
      </c>
      <c r="H14" s="966"/>
      <c r="I14" s="966" t="s">
        <v>1229</v>
      </c>
      <c r="J14" s="966"/>
      <c r="K14" s="966"/>
      <c r="L14" s="454" t="s">
        <v>1234</v>
      </c>
      <c r="M14" s="966" t="s">
        <v>1235</v>
      </c>
      <c r="N14" s="966"/>
      <c r="O14" s="966"/>
      <c r="P14" s="966"/>
      <c r="Q14" s="966" t="s">
        <v>1236</v>
      </c>
      <c r="R14" s="967" t="s">
        <v>3</v>
      </c>
      <c r="AM14" s="698"/>
      <c r="AN14" s="698"/>
      <c r="AO14" s="698"/>
      <c r="AP14" s="698"/>
      <c r="AQ14" s="698"/>
      <c r="AR14" s="698"/>
      <c r="AS14" s="698"/>
      <c r="AT14" s="698"/>
      <c r="AU14" s="698"/>
      <c r="AV14" s="698"/>
      <c r="AW14" s="698"/>
      <c r="AX14" s="698"/>
      <c r="AY14" s="698"/>
      <c r="AZ14" s="698"/>
      <c r="BA14" s="698"/>
      <c r="BB14" s="698"/>
    </row>
    <row r="15" spans="2:54" ht="103.5" customHeight="1" x14ac:dyDescent="0.2">
      <c r="B15" s="965"/>
      <c r="C15" s="424" t="s">
        <v>1223</v>
      </c>
      <c r="D15" s="424" t="s">
        <v>1221</v>
      </c>
      <c r="E15" s="424" t="s">
        <v>1237</v>
      </c>
      <c r="F15" s="424" t="s">
        <v>1224</v>
      </c>
      <c r="G15" s="424" t="s">
        <v>10</v>
      </c>
      <c r="H15" s="424" t="s">
        <v>1238</v>
      </c>
      <c r="I15" s="424" t="s">
        <v>1227</v>
      </c>
      <c r="J15" s="424" t="s">
        <v>1228</v>
      </c>
      <c r="K15" s="424" t="s">
        <v>1229</v>
      </c>
      <c r="L15" s="424" t="s">
        <v>1239</v>
      </c>
      <c r="M15" s="424" t="s">
        <v>4</v>
      </c>
      <c r="N15" s="424" t="s">
        <v>1240</v>
      </c>
      <c r="O15" s="424" t="s">
        <v>1241</v>
      </c>
      <c r="P15" s="424" t="s">
        <v>1242</v>
      </c>
      <c r="Q15" s="922"/>
      <c r="R15" s="968"/>
    </row>
    <row r="16" spans="2:54" s="107" customFormat="1" ht="19.5" customHeight="1" x14ac:dyDescent="0.25">
      <c r="B16" s="455">
        <v>1</v>
      </c>
      <c r="C16" s="412">
        <v>2</v>
      </c>
      <c r="D16" s="412">
        <v>3</v>
      </c>
      <c r="E16" s="412">
        <v>4</v>
      </c>
      <c r="F16" s="412">
        <v>5</v>
      </c>
      <c r="G16" s="412">
        <v>6</v>
      </c>
      <c r="H16" s="412">
        <v>7</v>
      </c>
      <c r="I16" s="412">
        <v>8</v>
      </c>
      <c r="J16" s="412">
        <v>9</v>
      </c>
      <c r="K16" s="412">
        <v>10</v>
      </c>
      <c r="L16" s="412">
        <v>11</v>
      </c>
      <c r="M16" s="412">
        <v>12</v>
      </c>
      <c r="N16" s="412">
        <v>13</v>
      </c>
      <c r="O16" s="412">
        <v>14</v>
      </c>
      <c r="P16" s="412">
        <v>15</v>
      </c>
      <c r="Q16" s="412">
        <v>16</v>
      </c>
      <c r="R16" s="456">
        <v>17</v>
      </c>
      <c r="AM16" s="409"/>
      <c r="AN16" s="409"/>
      <c r="AO16" s="409"/>
      <c r="AP16" s="409"/>
      <c r="AQ16" s="409"/>
      <c r="AR16" s="409"/>
      <c r="AS16" s="409"/>
      <c r="AT16" s="409"/>
      <c r="AU16" s="409"/>
      <c r="AV16" s="409"/>
      <c r="AW16" s="409"/>
      <c r="AX16" s="409"/>
      <c r="AY16" s="409"/>
      <c r="AZ16" s="409"/>
      <c r="BA16" s="409"/>
      <c r="BB16" s="409"/>
    </row>
    <row r="17" spans="2:18" ht="15" customHeight="1" x14ac:dyDescent="0.2">
      <c r="B17" s="457">
        <v>1</v>
      </c>
      <c r="C17" s="298"/>
      <c r="D17" s="375"/>
      <c r="E17" s="375"/>
      <c r="F17" s="374"/>
      <c r="G17" s="361"/>
      <c r="H17" s="260"/>
      <c r="I17" s="376"/>
      <c r="J17" s="376"/>
      <c r="K17" s="260"/>
      <c r="L17" s="260"/>
      <c r="M17" s="376"/>
      <c r="N17" s="260"/>
      <c r="O17" s="260"/>
      <c r="P17" s="377">
        <f>$N17*$O17</f>
        <v>0</v>
      </c>
      <c r="Q17" s="376"/>
      <c r="R17" s="378"/>
    </row>
    <row r="18" spans="2:18" ht="26.25" customHeight="1" thickBot="1" x14ac:dyDescent="0.25">
      <c r="B18" s="458"/>
      <c r="C18" s="956" t="s">
        <v>1231</v>
      </c>
      <c r="D18" s="957"/>
      <c r="E18" s="957"/>
      <c r="F18" s="957"/>
      <c r="G18" s="957"/>
      <c r="H18" s="957"/>
      <c r="I18" s="957"/>
      <c r="J18" s="957"/>
      <c r="K18" s="958"/>
      <c r="L18" s="459">
        <f ca="1">SUM(INDIRECT("$L$17:$L"&amp;ROW()-1))</f>
        <v>0</v>
      </c>
      <c r="M18" s="959" t="s">
        <v>1243</v>
      </c>
      <c r="N18" s="960"/>
      <c r="O18" s="961"/>
      <c r="P18" s="459">
        <f ca="1">SUM(INDIRECT("$p$17:$P"&amp;ROW()-1))</f>
        <v>0</v>
      </c>
      <c r="Q18" s="460" t="s">
        <v>1243</v>
      </c>
      <c r="R18" s="461"/>
    </row>
    <row r="21" spans="2:18" ht="15" x14ac:dyDescent="0.2">
      <c r="C21" s="923" t="s">
        <v>1159</v>
      </c>
      <c r="D21" s="923"/>
      <c r="E21" s="399"/>
      <c r="F21" s="400"/>
      <c r="G21" s="401"/>
      <c r="H21" s="401"/>
      <c r="I21" s="400"/>
      <c r="J21" s="399" t="s">
        <v>34</v>
      </c>
      <c r="K21" s="399"/>
    </row>
    <row r="22" spans="2:18" x14ac:dyDescent="0.2">
      <c r="C22" s="402"/>
      <c r="D22" s="404"/>
      <c r="E22" s="405"/>
      <c r="F22" s="404"/>
      <c r="G22" s="403"/>
      <c r="H22" s="403"/>
      <c r="I22" s="404"/>
      <c r="J22" s="405"/>
      <c r="K22" s="405"/>
    </row>
    <row r="23" spans="2:18" ht="15" x14ac:dyDescent="0.25">
      <c r="C23" s="402"/>
      <c r="D23" s="404" t="s">
        <v>1160</v>
      </c>
      <c r="E23"/>
      <c r="F23" s="395"/>
      <c r="G23" s="403"/>
      <c r="H23" s="403"/>
      <c r="I23" s="404"/>
      <c r="J23" s="405" t="s">
        <v>36</v>
      </c>
      <c r="K23" s="395"/>
    </row>
    <row r="24" spans="2:18" x14ac:dyDescent="0.2">
      <c r="F24" s="465" t="s">
        <v>1434</v>
      </c>
    </row>
    <row r="25" spans="2:18" x14ac:dyDescent="0.2">
      <c r="D25" s="120" t="s">
        <v>1169</v>
      </c>
      <c r="F25" s="395"/>
    </row>
    <row r="26" spans="2:18" x14ac:dyDescent="0.2">
      <c r="F26" s="465" t="s">
        <v>1437</v>
      </c>
    </row>
  </sheetData>
  <sheetProtection algorithmName="SHA-512" hashValue="sbkLBIfoj9ZoDbZsICLhpUAZxKagLJuYIYIWHGNmgKR7UZy5/k4XMuiExqpr6m542kY9yr31NlBMP5PQGKEFiQ==" saltValue="vBqrnLa0zrX769K/siXwyA==" spinCount="100000" sheet="1" objects="1" scenarios="1" selectLockedCells="1"/>
  <mergeCells count="13">
    <mergeCell ref="C18:K18"/>
    <mergeCell ref="M18:O18"/>
    <mergeCell ref="C21:D21"/>
    <mergeCell ref="C1:N1"/>
    <mergeCell ref="B10:R10"/>
    <mergeCell ref="B14:B15"/>
    <mergeCell ref="C14:F14"/>
    <mergeCell ref="G14:H14"/>
    <mergeCell ref="I14:K14"/>
    <mergeCell ref="M14:P14"/>
    <mergeCell ref="Q14:Q15"/>
    <mergeCell ref="R14:R15"/>
    <mergeCell ref="G4:H4"/>
  </mergeCells>
  <dataValidations count="6">
    <dataValidation type="list" allowBlank="1" showInputMessage="1" showErrorMessage="1" sqref="Q17">
      <formula1>tehnikiin_umch</formula1>
    </dataValidation>
    <dataValidation type="list" allowBlank="1" showInputMessage="1" showErrorMessage="1" sqref="M17">
      <formula1>tehnikiin_hemjih</formula1>
    </dataValidation>
    <dataValidation type="list" allowBlank="1" showInputMessage="1" showErrorMessage="1" sqref="I17:J17">
      <formula1>tehnikiin_on</formula1>
    </dataValidation>
    <dataValidation type="list" allowBlank="1" showInputMessage="1" showErrorMessage="1" sqref="F17">
      <formula1>tehnik_uls_8_1</formula1>
    </dataValidation>
    <dataValidation type="decimal" allowBlank="1" showInputMessage="1" showErrorMessage="1" sqref="K17:L17 N17:O17">
      <formula1>-9.99999999999999E+35</formula1>
      <formula2>9.99999999999999E+36</formula2>
    </dataValidation>
    <dataValidation type="decimal" allowBlank="1" showInputMessage="1" showErrorMessage="1" sqref="H17">
      <formula1>-9.99999999999999E+34</formula1>
      <formula2>9.99999999999999E+35</formula2>
    </dataValidation>
  </dataValidations>
  <pageMargins left="0.77" right="0.7" top="0.86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alRep8_1_add_row">
                <anchor moveWithCells="1" sizeWithCells="1">
                  <from>
                    <xdr:col>0</xdr:col>
                    <xdr:colOff>38100</xdr:colOff>
                    <xdr:row>16</xdr:row>
                    <xdr:rowOff>38100</xdr:rowOff>
                  </from>
                  <to>
                    <xdr:col>0</xdr:col>
                    <xdr:colOff>228600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B1:R31"/>
  <sheetViews>
    <sheetView showGridLines="0" showRuler="0" showWhiteSpace="0" zoomScale="85" zoomScaleNormal="85" workbookViewId="0">
      <selection activeCell="G2" sqref="G2:J3"/>
    </sheetView>
  </sheetViews>
  <sheetFormatPr defaultRowHeight="15" x14ac:dyDescent="0.25"/>
  <cols>
    <col min="1" max="1" width="4.140625" style="408" customWidth="1"/>
    <col min="2" max="2" width="6.5703125" style="107" customWidth="1"/>
    <col min="3" max="3" width="24.85546875" style="107" customWidth="1"/>
    <col min="4" max="4" width="22.85546875" style="107" customWidth="1"/>
    <col min="5" max="5" width="18" style="107" customWidth="1"/>
    <col min="6" max="6" width="18.140625" style="107" customWidth="1"/>
    <col min="7" max="7" width="12.85546875" style="107" customWidth="1"/>
    <col min="8" max="8" width="13" style="107" customWidth="1"/>
    <col min="9" max="10" width="13.85546875" style="107" customWidth="1"/>
    <col min="11" max="11" width="7.7109375" style="107" customWidth="1"/>
    <col min="12" max="12" width="7.42578125" style="107" customWidth="1"/>
    <col min="13" max="13" width="18.85546875" style="107" customWidth="1"/>
    <col min="14" max="14" width="14.5703125" style="408" customWidth="1"/>
    <col min="15" max="15" width="14.42578125" style="408" customWidth="1"/>
    <col min="16" max="16" width="19.5703125" style="408" customWidth="1"/>
    <col min="17" max="17" width="19.7109375" style="408" customWidth="1"/>
    <col min="18" max="16384" width="9.140625" style="408"/>
  </cols>
  <sheetData>
    <row r="1" spans="2:18" s="117" customFormat="1" ht="99" customHeight="1" x14ac:dyDescent="0.2">
      <c r="C1" s="410"/>
      <c r="E1" s="42" t="s">
        <v>292</v>
      </c>
      <c r="F1" s="42"/>
      <c r="G1" s="42"/>
      <c r="H1" s="42"/>
      <c r="Q1" s="126" t="s">
        <v>1244</v>
      </c>
    </row>
    <row r="2" spans="2:18" s="117" customFormat="1" ht="17.100000000000001" customHeight="1" x14ac:dyDescent="0.2">
      <c r="B2" s="409" t="s">
        <v>1170</v>
      </c>
      <c r="C2" s="410"/>
      <c r="D2" s="462"/>
      <c r="E2" s="60"/>
      <c r="F2" s="60"/>
      <c r="G2" s="107" t="s">
        <v>283</v>
      </c>
      <c r="I2" s="916"/>
      <c r="J2" s="916"/>
    </row>
    <row r="3" spans="2:18" s="117" customFormat="1" ht="9.75" customHeight="1" x14ac:dyDescent="0.2">
      <c r="B3" s="409"/>
      <c r="C3" s="410"/>
      <c r="D3" s="705" t="s">
        <v>1435</v>
      </c>
      <c r="E3" s="470"/>
      <c r="F3" s="470"/>
      <c r="G3" s="107"/>
      <c r="I3" s="920" t="s">
        <v>1431</v>
      </c>
      <c r="J3" s="920"/>
    </row>
    <row r="4" spans="2:18" s="107" customFormat="1" ht="17.100000000000001" customHeight="1" x14ac:dyDescent="0.2">
      <c r="B4" s="119" t="s">
        <v>0</v>
      </c>
      <c r="D4" s="463"/>
      <c r="E4" s="60"/>
      <c r="M4" s="117"/>
    </row>
    <row r="5" spans="2:18" s="107" customFormat="1" ht="6.75" customHeight="1" x14ac:dyDescent="0.2">
      <c r="B5" s="119"/>
      <c r="D5" s="706" t="s">
        <v>1429</v>
      </c>
      <c r="E5" s="470"/>
      <c r="M5" s="117"/>
    </row>
    <row r="6" spans="2:18" s="107" customFormat="1" ht="17.100000000000001" customHeight="1" x14ac:dyDescent="0.25">
      <c r="B6" s="119" t="s">
        <v>1</v>
      </c>
      <c r="D6" s="462"/>
      <c r="E6" s="60"/>
      <c r="K6" s="917"/>
      <c r="L6" s="917"/>
      <c r="M6" s="917"/>
    </row>
    <row r="7" spans="2:18" s="107" customFormat="1" ht="7.5" customHeight="1" x14ac:dyDescent="0.25">
      <c r="B7" s="119"/>
      <c r="D7" s="705" t="s">
        <v>1430</v>
      </c>
      <c r="E7" s="470"/>
      <c r="K7" s="419"/>
      <c r="L7" s="419"/>
      <c r="M7" s="419"/>
    </row>
    <row r="8" spans="2:18" ht="65.25" customHeight="1" x14ac:dyDescent="0.25">
      <c r="B8" s="926" t="s">
        <v>1245</v>
      </c>
      <c r="C8" s="926"/>
      <c r="D8" s="926"/>
      <c r="E8" s="926"/>
      <c r="F8" s="926"/>
      <c r="G8" s="926"/>
      <c r="H8" s="926"/>
      <c r="I8" s="926"/>
      <c r="J8" s="926"/>
      <c r="K8" s="926"/>
      <c r="L8" s="926"/>
      <c r="M8" s="926"/>
    </row>
    <row r="9" spans="2:18" s="120" customFormat="1" ht="43.5" customHeight="1" x14ac:dyDescent="0.2">
      <c r="B9" s="922" t="s">
        <v>1246</v>
      </c>
      <c r="C9" s="922" t="s">
        <v>1247</v>
      </c>
      <c r="D9" s="922"/>
      <c r="E9" s="922" t="s">
        <v>1248</v>
      </c>
      <c r="F9" s="922"/>
      <c r="G9" s="922" t="s">
        <v>1249</v>
      </c>
      <c r="H9" s="922"/>
      <c r="I9" s="922" t="s">
        <v>1250</v>
      </c>
      <c r="J9" s="922"/>
      <c r="K9" s="922" t="s">
        <v>1251</v>
      </c>
      <c r="L9" s="922"/>
      <c r="M9" s="922"/>
      <c r="N9" s="971" t="s">
        <v>1252</v>
      </c>
      <c r="O9" s="971"/>
      <c r="P9" s="971"/>
      <c r="Q9" s="971"/>
    </row>
    <row r="10" spans="2:18" s="120" customFormat="1" ht="43.5" customHeight="1" x14ac:dyDescent="0.2">
      <c r="B10" s="922"/>
      <c r="C10" s="424" t="s">
        <v>1253</v>
      </c>
      <c r="D10" s="424" t="s">
        <v>1254</v>
      </c>
      <c r="E10" s="424" t="s">
        <v>1255</v>
      </c>
      <c r="F10" s="424" t="s">
        <v>1256</v>
      </c>
      <c r="G10" s="424" t="s">
        <v>1255</v>
      </c>
      <c r="H10" s="424" t="s">
        <v>1256</v>
      </c>
      <c r="I10" s="424" t="s">
        <v>1255</v>
      </c>
      <c r="J10" s="424" t="s">
        <v>1256</v>
      </c>
      <c r="K10" s="909" t="s">
        <v>1256</v>
      </c>
      <c r="L10" s="911"/>
      <c r="M10" s="424" t="s">
        <v>1255</v>
      </c>
      <c r="N10" s="424" t="s">
        <v>1257</v>
      </c>
      <c r="O10" s="439" t="s">
        <v>1258</v>
      </c>
      <c r="P10" s="439" t="s">
        <v>1259</v>
      </c>
      <c r="Q10" s="439" t="s">
        <v>1260</v>
      </c>
    </row>
    <row r="11" spans="2:18" s="120" customFormat="1" ht="12.75" customHeight="1" x14ac:dyDescent="0.2">
      <c r="B11" s="412">
        <v>1</v>
      </c>
      <c r="C11" s="412">
        <v>2</v>
      </c>
      <c r="D11" s="412">
        <v>3</v>
      </c>
      <c r="E11" s="412">
        <v>4</v>
      </c>
      <c r="F11" s="412">
        <v>5</v>
      </c>
      <c r="G11" s="412">
        <v>6</v>
      </c>
      <c r="H11" s="412">
        <v>7</v>
      </c>
      <c r="I11" s="412">
        <v>8</v>
      </c>
      <c r="J11" s="412">
        <v>9</v>
      </c>
      <c r="K11" s="972">
        <v>10</v>
      </c>
      <c r="L11" s="973"/>
      <c r="M11" s="412">
        <v>11</v>
      </c>
      <c r="N11" s="464">
        <v>12</v>
      </c>
      <c r="O11" s="412">
        <v>13</v>
      </c>
      <c r="P11" s="412">
        <v>14</v>
      </c>
      <c r="Q11" s="412">
        <v>15</v>
      </c>
    </row>
    <row r="12" spans="2:18" s="120" customFormat="1" ht="14.25" customHeight="1" x14ac:dyDescent="0.2">
      <c r="B12" s="297">
        <v>1</v>
      </c>
      <c r="C12" s="361"/>
      <c r="D12" s="632"/>
      <c r="E12" s="260"/>
      <c r="F12" s="260"/>
      <c r="G12" s="260"/>
      <c r="H12" s="260"/>
      <c r="I12" s="260"/>
      <c r="J12" s="260"/>
      <c r="K12" s="814"/>
      <c r="L12" s="815"/>
      <c r="M12" s="260"/>
      <c r="N12" s="363"/>
      <c r="O12" s="696"/>
      <c r="P12" s="697"/>
      <c r="Q12" s="697"/>
      <c r="R12" s="465" t="s">
        <v>344</v>
      </c>
    </row>
    <row r="13" spans="2:18" s="403" customFormat="1" ht="14.25" x14ac:dyDescent="0.25">
      <c r="N13" s="466" t="s">
        <v>1151</v>
      </c>
    </row>
    <row r="14" spans="2:18" s="403" customFormat="1" ht="14.25" x14ac:dyDescent="0.25"/>
    <row r="15" spans="2:18" s="120" customFormat="1" ht="27" customHeight="1" x14ac:dyDescent="0.2">
      <c r="B15" s="971" t="s">
        <v>1246</v>
      </c>
      <c r="C15" s="922" t="s">
        <v>1261</v>
      </c>
      <c r="D15" s="922"/>
      <c r="E15" s="922"/>
      <c r="F15" s="922"/>
      <c r="G15" s="922"/>
      <c r="H15" s="922"/>
      <c r="J15" s="107"/>
      <c r="K15" s="107"/>
      <c r="L15" s="107"/>
    </row>
    <row r="16" spans="2:18" s="120" customFormat="1" ht="30" x14ac:dyDescent="0.2">
      <c r="B16" s="971"/>
      <c r="C16" s="424" t="s">
        <v>1262</v>
      </c>
      <c r="D16" s="424" t="s">
        <v>4</v>
      </c>
      <c r="E16" s="424" t="s">
        <v>1263</v>
      </c>
      <c r="F16" s="424" t="s">
        <v>1264</v>
      </c>
      <c r="G16" s="424" t="s">
        <v>1265</v>
      </c>
      <c r="H16" s="424" t="s">
        <v>1266</v>
      </c>
      <c r="J16" s="107"/>
      <c r="K16" s="107"/>
      <c r="L16" s="107"/>
    </row>
    <row r="17" spans="2:12" s="120" customFormat="1" ht="13.5" customHeight="1" x14ac:dyDescent="0.2">
      <c r="B17" s="412">
        <v>1</v>
      </c>
      <c r="C17" s="412">
        <v>2</v>
      </c>
      <c r="D17" s="412">
        <v>3</v>
      </c>
      <c r="E17" s="412">
        <v>4</v>
      </c>
      <c r="F17" s="412">
        <v>5</v>
      </c>
      <c r="G17" s="412">
        <v>6</v>
      </c>
      <c r="H17" s="412">
        <v>7</v>
      </c>
      <c r="J17" s="107"/>
      <c r="K17" s="107"/>
      <c r="L17" s="107"/>
    </row>
    <row r="18" spans="2:12" s="120" customFormat="1" ht="15" customHeight="1" x14ac:dyDescent="0.2">
      <c r="B18" s="297">
        <v>1</v>
      </c>
      <c r="C18" s="362"/>
      <c r="D18" s="365" t="str">
        <f>IFERROR(VLOOKUP($C18,Source!$L$1:$M$15,2,FALSE),"- - -")</f>
        <v>- - -</v>
      </c>
      <c r="E18" s="260"/>
      <c r="F18" s="260"/>
      <c r="G18" s="260"/>
      <c r="H18" s="260"/>
      <c r="J18" s="107"/>
      <c r="K18" s="107"/>
      <c r="L18" s="107"/>
    </row>
    <row r="19" spans="2:12" s="120" customFormat="1" ht="14.25" x14ac:dyDescent="0.2">
      <c r="B19" s="142"/>
      <c r="J19" s="107"/>
      <c r="K19" s="107"/>
      <c r="L19" s="107"/>
    </row>
    <row r="20" spans="2:12" s="403" customFormat="1" ht="14.25" x14ac:dyDescent="0.25"/>
    <row r="21" spans="2:12" s="403" customFormat="1" ht="30" customHeight="1" x14ac:dyDescent="0.25">
      <c r="B21" s="467" t="s">
        <v>1246</v>
      </c>
      <c r="C21" s="909" t="s">
        <v>1267</v>
      </c>
      <c r="D21" s="910"/>
      <c r="E21" s="910"/>
      <c r="F21" s="911"/>
    </row>
    <row r="22" spans="2:12" s="403" customFormat="1" ht="45" customHeight="1" x14ac:dyDescent="0.25">
      <c r="B22" s="468"/>
      <c r="C22" s="424" t="s">
        <v>1268</v>
      </c>
      <c r="D22" s="424" t="s">
        <v>1269</v>
      </c>
      <c r="E22" s="424" t="s">
        <v>1270</v>
      </c>
      <c r="F22" s="424" t="s">
        <v>1271</v>
      </c>
    </row>
    <row r="23" spans="2:12" s="403" customFormat="1" x14ac:dyDescent="0.25">
      <c r="B23" s="412">
        <v>1</v>
      </c>
      <c r="C23" s="412">
        <v>2</v>
      </c>
      <c r="D23" s="412">
        <v>3</v>
      </c>
      <c r="E23" s="412">
        <v>4</v>
      </c>
      <c r="F23" s="412">
        <v>5</v>
      </c>
    </row>
    <row r="24" spans="2:12" s="403" customFormat="1" x14ac:dyDescent="0.2">
      <c r="B24" s="121">
        <v>1</v>
      </c>
      <c r="C24" s="362"/>
      <c r="D24" s="722"/>
      <c r="E24" s="722"/>
      <c r="F24" s="362"/>
    </row>
    <row r="25" spans="2:12" s="403" customFormat="1" ht="14.25" x14ac:dyDescent="0.25"/>
    <row r="26" spans="2:12" s="403" customFormat="1" ht="14.25" x14ac:dyDescent="0.25"/>
    <row r="27" spans="2:12" s="401" customFormat="1" x14ac:dyDescent="0.25">
      <c r="B27" s="923" t="s">
        <v>1159</v>
      </c>
      <c r="C27" s="923"/>
      <c r="D27" s="399"/>
      <c r="E27" s="400"/>
      <c r="G27" s="399" t="s">
        <v>34</v>
      </c>
      <c r="H27" s="400"/>
      <c r="J27" s="399"/>
    </row>
    <row r="28" spans="2:12" s="403" customFormat="1" ht="14.25" x14ac:dyDescent="0.25">
      <c r="B28" s="402"/>
      <c r="C28" s="404"/>
      <c r="D28" s="405"/>
      <c r="E28" s="404"/>
      <c r="G28" s="405"/>
      <c r="H28" s="404"/>
      <c r="J28" s="405"/>
    </row>
    <row r="29" spans="2:12" s="403" customFormat="1" ht="17.100000000000001" customHeight="1" x14ac:dyDescent="0.25">
      <c r="B29" s="402"/>
      <c r="C29" s="404" t="s">
        <v>1160</v>
      </c>
      <c r="D29" s="469"/>
      <c r="E29" s="404"/>
      <c r="G29" s="405" t="s">
        <v>36</v>
      </c>
      <c r="H29" s="970"/>
      <c r="I29" s="970"/>
      <c r="J29" s="405"/>
    </row>
    <row r="30" spans="2:12" s="403" customFormat="1" ht="17.100000000000001" customHeight="1" x14ac:dyDescent="0.25">
      <c r="B30" s="402"/>
      <c r="C30" s="404"/>
      <c r="D30" s="707" t="s">
        <v>1434</v>
      </c>
      <c r="E30" s="404"/>
      <c r="G30" s="405"/>
      <c r="H30" s="406"/>
      <c r="I30" s="406"/>
      <c r="J30" s="405"/>
    </row>
    <row r="31" spans="2:12" s="403" customFormat="1" ht="17.100000000000001" customHeight="1" x14ac:dyDescent="0.25">
      <c r="B31" s="407"/>
      <c r="C31" s="402" t="s">
        <v>351</v>
      </c>
      <c r="D31" s="469"/>
      <c r="E31" s="404"/>
      <c r="F31" s="405"/>
      <c r="G31" s="405"/>
      <c r="H31" s="404"/>
    </row>
  </sheetData>
  <sheetProtection selectLockedCells="1"/>
  <mergeCells count="19">
    <mergeCell ref="I2:J2"/>
    <mergeCell ref="K6:M6"/>
    <mergeCell ref="B8:M8"/>
    <mergeCell ref="B9:B10"/>
    <mergeCell ref="C9:D9"/>
    <mergeCell ref="E9:F9"/>
    <mergeCell ref="G9:H9"/>
    <mergeCell ref="I9:J9"/>
    <mergeCell ref="K9:M9"/>
    <mergeCell ref="I3:J3"/>
    <mergeCell ref="C21:F21"/>
    <mergeCell ref="B27:C27"/>
    <mergeCell ref="H29:I29"/>
    <mergeCell ref="N9:Q9"/>
    <mergeCell ref="K10:L10"/>
    <mergeCell ref="K11:L11"/>
    <mergeCell ref="K12:L12"/>
    <mergeCell ref="B15:B16"/>
    <mergeCell ref="C15:H15"/>
  </mergeCells>
  <dataValidations count="5">
    <dataValidation type="list" allowBlank="1" showInputMessage="1" showErrorMessage="1" sqref="C18">
      <formula1>teselgeenii_bodisiin_ner</formula1>
    </dataValidation>
    <dataValidation type="list" allowBlank="1" showInputMessage="1" showErrorMessage="1" sqref="O12">
      <formula1>aguulgiin_angilal</formula1>
    </dataValidation>
    <dataValidation type="list" allowBlank="1" showInputMessage="1" showErrorMessage="1" sqref="C24">
      <formula1>teselgeenii_alban_tushaal</formula1>
    </dataValidation>
    <dataValidation type="decimal" allowBlank="1" showInputMessage="1" showErrorMessage="1" errorTitle="Анхаар" error="Зөвхөн тоо оруулана уу." sqref="P12:Q12 C12 E12:F12 E18:H18 I12:M12">
      <formula1>-9.99999999999999E+34</formula1>
      <formula2>9.99999999999999E+35</formula2>
    </dataValidation>
    <dataValidation type="list" allowBlank="1" showInputMessage="1" showErrorMessage="1" sqref="N12 F24">
      <formula1>yesno</formula1>
    </dataValidation>
  </dataValidations>
  <pageMargins left="0.6" right="0.38" top="0.75" bottom="0.75" header="0.3" footer="0.3"/>
  <pageSetup paperSize="9" scale="23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oalRep9_add_row1">
                <anchor moveWithCells="1" sizeWithCells="1">
                  <from>
                    <xdr:col>0</xdr:col>
                    <xdr:colOff>47625</xdr:colOff>
                    <xdr:row>11</xdr:row>
                    <xdr:rowOff>28575</xdr:rowOff>
                  </from>
                  <to>
                    <xdr:col>0</xdr:col>
                    <xdr:colOff>238125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coalRep9_add_row2">
                <anchor moveWithCells="1" sizeWithCells="1">
                  <from>
                    <xdr:col>0</xdr:col>
                    <xdr:colOff>47625</xdr:colOff>
                    <xdr:row>17</xdr:row>
                    <xdr:rowOff>47625</xdr:rowOff>
                  </from>
                  <to>
                    <xdr:col>0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coalRep9_add_row3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Z33"/>
  <sheetViews>
    <sheetView showGridLines="0" zoomScaleNormal="100" zoomScalePageLayoutView="80" workbookViewId="0">
      <selection activeCell="E14" sqref="E14"/>
    </sheetView>
  </sheetViews>
  <sheetFormatPr defaultRowHeight="14.25" x14ac:dyDescent="0.2"/>
  <cols>
    <col min="1" max="1" width="2.42578125" style="117" customWidth="1"/>
    <col min="2" max="2" width="8.28515625" style="117" customWidth="1"/>
    <col min="3" max="3" width="25.5703125" style="117" customWidth="1"/>
    <col min="4" max="4" width="8.5703125" style="117" customWidth="1"/>
    <col min="5" max="5" width="20" style="117" customWidth="1"/>
    <col min="6" max="6" width="19.85546875" style="117" customWidth="1"/>
    <col min="7" max="7" width="8.7109375" style="117" customWidth="1"/>
    <col min="8" max="8" width="20.28515625" style="117" customWidth="1"/>
    <col min="9" max="9" width="20.42578125" style="117" customWidth="1"/>
    <col min="10" max="10" width="9.140625" style="117"/>
    <col min="11" max="11" width="19" style="117" customWidth="1"/>
    <col min="12" max="12" width="22.5703125" style="117" customWidth="1"/>
    <col min="13" max="13" width="4" style="117" customWidth="1"/>
    <col min="14" max="14" width="3.85546875" style="117" customWidth="1"/>
    <col min="15" max="20" width="6.5703125" style="117" customWidth="1"/>
    <col min="21" max="22" width="13.85546875" style="117" customWidth="1"/>
    <col min="23" max="23" width="26.42578125" style="117" customWidth="1"/>
    <col min="24" max="24" width="9.140625" style="117"/>
    <col min="25" max="26" width="9.140625" style="117" hidden="1" customWidth="1"/>
    <col min="27" max="16384" width="9.140625" style="117"/>
  </cols>
  <sheetData>
    <row r="1" spans="2:26" ht="99" customHeight="1" x14ac:dyDescent="0.2">
      <c r="B1" s="410"/>
      <c r="C1" s="409"/>
      <c r="D1" s="975" t="s">
        <v>1272</v>
      </c>
      <c r="E1" s="975"/>
      <c r="F1" s="975"/>
      <c r="G1" s="975"/>
      <c r="H1" s="975"/>
      <c r="I1" s="975"/>
      <c r="W1" s="385" t="s">
        <v>1273</v>
      </c>
      <c r="Y1" s="118"/>
      <c r="Z1" s="118"/>
    </row>
    <row r="2" spans="2:26" x14ac:dyDescent="0.2">
      <c r="Y2" s="118"/>
      <c r="Z2" s="118"/>
    </row>
    <row r="3" spans="2:26" x14ac:dyDescent="0.2">
      <c r="B3" s="471" t="s">
        <v>0</v>
      </c>
      <c r="C3" s="409"/>
      <c r="E3" s="993"/>
      <c r="F3" s="993"/>
      <c r="G3" s="969"/>
      <c r="H3" s="969"/>
      <c r="I3" s="117" t="s">
        <v>274</v>
      </c>
      <c r="Y3" s="118"/>
      <c r="Z3" s="118"/>
    </row>
    <row r="4" spans="2:26" ht="9.75" customHeight="1" x14ac:dyDescent="0.2">
      <c r="B4" s="471"/>
      <c r="C4" s="409"/>
      <c r="E4" s="994" t="s">
        <v>1429</v>
      </c>
      <c r="F4" s="994"/>
      <c r="G4" s="107"/>
      <c r="H4" s="107"/>
      <c r="J4" s="418" t="s">
        <v>1431</v>
      </c>
      <c r="Y4" s="118"/>
      <c r="Z4" s="118"/>
    </row>
    <row r="5" spans="2:26" s="409" customFormat="1" ht="18" customHeight="1" x14ac:dyDescent="0.2">
      <c r="B5" s="471" t="s">
        <v>1</v>
      </c>
      <c r="E5" s="995"/>
      <c r="F5" s="995"/>
      <c r="G5" s="396"/>
      <c r="H5" s="804"/>
      <c r="Y5" s="118"/>
      <c r="Z5" s="118"/>
    </row>
    <row r="6" spans="2:26" s="409" customFormat="1" ht="12" customHeight="1" x14ac:dyDescent="0.2">
      <c r="B6" s="471"/>
      <c r="E6" s="886" t="s">
        <v>1430</v>
      </c>
      <c r="F6" s="886"/>
      <c r="G6" s="396"/>
      <c r="H6" s="804"/>
      <c r="Y6" s="118"/>
      <c r="Z6" s="118"/>
    </row>
    <row r="7" spans="2:26" s="409" customFormat="1" ht="18" customHeight="1" x14ac:dyDescent="0.2">
      <c r="B7" s="409" t="s">
        <v>1274</v>
      </c>
      <c r="E7" s="995"/>
      <c r="F7" s="995"/>
      <c r="G7" s="554"/>
      <c r="H7" s="472"/>
      <c r="Y7" s="118"/>
      <c r="Z7" s="118"/>
    </row>
    <row r="8" spans="2:26" s="409" customFormat="1" ht="9" customHeight="1" x14ac:dyDescent="0.2">
      <c r="E8" s="995"/>
      <c r="F8" s="995"/>
      <c r="G8" s="554"/>
      <c r="H8" s="472"/>
      <c r="Y8" s="118"/>
      <c r="Z8" s="118"/>
    </row>
    <row r="9" spans="2:26" s="409" customFormat="1" ht="66" customHeight="1" x14ac:dyDescent="0.25">
      <c r="B9" s="976" t="s">
        <v>1275</v>
      </c>
      <c r="C9" s="976"/>
      <c r="D9" s="976"/>
      <c r="E9" s="976"/>
      <c r="F9" s="976"/>
      <c r="G9" s="976"/>
      <c r="H9" s="976"/>
      <c r="I9" s="976"/>
      <c r="J9" s="976"/>
      <c r="K9" s="976"/>
      <c r="L9" s="976"/>
      <c r="M9" s="976"/>
      <c r="N9" s="976"/>
      <c r="O9" s="976"/>
      <c r="P9" s="976"/>
      <c r="Q9" s="976"/>
      <c r="R9" s="976"/>
      <c r="S9" s="976"/>
      <c r="T9" s="976"/>
      <c r="U9" s="976"/>
      <c r="V9" s="976"/>
      <c r="W9" s="976"/>
    </row>
    <row r="10" spans="2:26" ht="33.75" customHeight="1" x14ac:dyDescent="0.2">
      <c r="B10" s="977" t="s">
        <v>2</v>
      </c>
      <c r="C10" s="977" t="s">
        <v>1276</v>
      </c>
      <c r="D10" s="881" t="s">
        <v>1277</v>
      </c>
      <c r="E10" s="980"/>
      <c r="F10" s="882"/>
      <c r="G10" s="881" t="s">
        <v>1278</v>
      </c>
      <c r="H10" s="980"/>
      <c r="I10" s="882"/>
      <c r="J10" s="881" t="s">
        <v>1279</v>
      </c>
      <c r="K10" s="980"/>
      <c r="L10" s="882"/>
      <c r="M10" s="881" t="s">
        <v>1280</v>
      </c>
      <c r="N10" s="980"/>
      <c r="O10" s="980"/>
      <c r="P10" s="980"/>
      <c r="Q10" s="980"/>
      <c r="R10" s="980"/>
      <c r="S10" s="980"/>
      <c r="T10" s="980"/>
      <c r="U10" s="980"/>
      <c r="V10" s="882"/>
      <c r="W10" s="977" t="s">
        <v>3</v>
      </c>
    </row>
    <row r="11" spans="2:26" ht="33.75" customHeight="1" x14ac:dyDescent="0.2">
      <c r="B11" s="978"/>
      <c r="C11" s="978"/>
      <c r="D11" s="883"/>
      <c r="E11" s="981"/>
      <c r="F11" s="884"/>
      <c r="G11" s="883"/>
      <c r="H11" s="981"/>
      <c r="I11" s="884"/>
      <c r="J11" s="883"/>
      <c r="K11" s="981"/>
      <c r="L11" s="884"/>
      <c r="M11" s="982" t="s">
        <v>2</v>
      </c>
      <c r="N11" s="983"/>
      <c r="O11" s="986" t="s">
        <v>1161</v>
      </c>
      <c r="P11" s="987"/>
      <c r="Q11" s="988"/>
      <c r="R11" s="986" t="s">
        <v>1162</v>
      </c>
      <c r="S11" s="987"/>
      <c r="T11" s="988"/>
      <c r="U11" s="986" t="s">
        <v>1163</v>
      </c>
      <c r="V11" s="987"/>
      <c r="W11" s="978"/>
    </row>
    <row r="12" spans="2:26" ht="29.25" customHeight="1" x14ac:dyDescent="0.2">
      <c r="B12" s="979"/>
      <c r="C12" s="979"/>
      <c r="D12" s="473" t="s">
        <v>4</v>
      </c>
      <c r="E12" s="473" t="s">
        <v>5</v>
      </c>
      <c r="F12" s="473" t="s">
        <v>6</v>
      </c>
      <c r="G12" s="473" t="s">
        <v>4</v>
      </c>
      <c r="H12" s="473" t="s">
        <v>5</v>
      </c>
      <c r="I12" s="473" t="s">
        <v>6</v>
      </c>
      <c r="J12" s="473" t="s">
        <v>4</v>
      </c>
      <c r="K12" s="473" t="s">
        <v>5</v>
      </c>
      <c r="L12" s="473" t="s">
        <v>6</v>
      </c>
      <c r="M12" s="984"/>
      <c r="N12" s="985"/>
      <c r="O12" s="476" t="s">
        <v>1164</v>
      </c>
      <c r="P12" s="476" t="s">
        <v>1165</v>
      </c>
      <c r="Q12" s="476" t="s">
        <v>1166</v>
      </c>
      <c r="R12" s="476" t="s">
        <v>1164</v>
      </c>
      <c r="S12" s="476" t="s">
        <v>1165</v>
      </c>
      <c r="T12" s="476" t="s">
        <v>1166</v>
      </c>
      <c r="U12" s="476" t="s">
        <v>1167</v>
      </c>
      <c r="V12" s="674" t="s">
        <v>1168</v>
      </c>
      <c r="W12" s="979"/>
    </row>
    <row r="13" spans="2:26" ht="16.5" customHeight="1" x14ac:dyDescent="0.2">
      <c r="B13" s="474">
        <v>1</v>
      </c>
      <c r="C13" s="474">
        <v>2</v>
      </c>
      <c r="D13" s="474">
        <v>3</v>
      </c>
      <c r="E13" s="474">
        <v>4</v>
      </c>
      <c r="F13" s="474">
        <v>5</v>
      </c>
      <c r="G13" s="474">
        <v>6</v>
      </c>
      <c r="H13" s="474">
        <v>7</v>
      </c>
      <c r="I13" s="474">
        <v>8</v>
      </c>
      <c r="J13" s="474">
        <v>9</v>
      </c>
      <c r="K13" s="474">
        <v>10</v>
      </c>
      <c r="L13" s="474">
        <v>11</v>
      </c>
      <c r="M13" s="890">
        <v>12</v>
      </c>
      <c r="N13" s="989"/>
      <c r="O13" s="989"/>
      <c r="P13" s="989"/>
      <c r="Q13" s="989"/>
      <c r="R13" s="989"/>
      <c r="S13" s="989"/>
      <c r="T13" s="989"/>
      <c r="U13" s="989"/>
      <c r="V13" s="891"/>
      <c r="W13" s="474">
        <v>13</v>
      </c>
    </row>
    <row r="14" spans="2:26" s="475" customFormat="1" ht="30" customHeight="1" x14ac:dyDescent="0.2">
      <c r="B14" s="676">
        <v>1.1000000000000001</v>
      </c>
      <c r="C14" s="679" t="s">
        <v>1281</v>
      </c>
      <c r="D14" s="678" t="s">
        <v>1282</v>
      </c>
      <c r="E14" s="675"/>
      <c r="F14" s="675"/>
      <c r="G14" s="685" t="s">
        <v>1283</v>
      </c>
      <c r="H14" s="675"/>
      <c r="I14" s="675"/>
      <c r="J14" s="676"/>
      <c r="K14" s="675"/>
      <c r="L14" s="675"/>
      <c r="M14" s="658"/>
      <c r="N14" s="651">
        <v>1</v>
      </c>
      <c r="O14" s="659"/>
      <c r="P14" s="659"/>
      <c r="Q14" s="659"/>
      <c r="R14" s="659"/>
      <c r="S14" s="659"/>
      <c r="T14" s="659"/>
      <c r="U14" s="659"/>
      <c r="V14" s="660"/>
      <c r="W14" s="661"/>
    </row>
    <row r="15" spans="2:26" s="481" customFormat="1" ht="30" customHeight="1" x14ac:dyDescent="0.2">
      <c r="B15" s="681">
        <v>1.2</v>
      </c>
      <c r="C15" s="682" t="s">
        <v>1284</v>
      </c>
      <c r="D15" s="683" t="s">
        <v>1282</v>
      </c>
      <c r="E15" s="680"/>
      <c r="F15" s="680"/>
      <c r="G15" s="684" t="s">
        <v>1285</v>
      </c>
      <c r="H15" s="680"/>
      <c r="I15" s="680"/>
      <c r="J15" s="681"/>
      <c r="K15" s="680"/>
      <c r="L15" s="680"/>
      <c r="M15" s="482"/>
      <c r="N15" s="650">
        <v>1</v>
      </c>
      <c r="O15" s="483"/>
      <c r="P15" s="483"/>
      <c r="Q15" s="483"/>
      <c r="R15" s="483"/>
      <c r="S15" s="483"/>
      <c r="T15" s="483"/>
      <c r="U15" s="483"/>
      <c r="V15" s="484"/>
      <c r="W15" s="693"/>
    </row>
    <row r="16" spans="2:26" s="481" customFormat="1" ht="30" customHeight="1" x14ac:dyDescent="0.2">
      <c r="B16" s="681">
        <v>1.3</v>
      </c>
      <c r="C16" s="682" t="s">
        <v>1286</v>
      </c>
      <c r="D16" s="683" t="s">
        <v>1282</v>
      </c>
      <c r="E16" s="680"/>
      <c r="F16" s="680"/>
      <c r="G16" s="684" t="s">
        <v>1285</v>
      </c>
      <c r="H16" s="680"/>
      <c r="I16" s="680"/>
      <c r="J16" s="681"/>
      <c r="K16" s="680"/>
      <c r="L16" s="680"/>
      <c r="M16" s="662"/>
      <c r="N16" s="649">
        <v>1</v>
      </c>
      <c r="O16" s="663"/>
      <c r="P16" s="663"/>
      <c r="Q16" s="663"/>
      <c r="R16" s="663"/>
      <c r="S16" s="663"/>
      <c r="T16" s="663"/>
      <c r="U16" s="663"/>
      <c r="V16" s="664"/>
      <c r="W16" s="693"/>
    </row>
    <row r="17" spans="1:23" s="475" customFormat="1" ht="30" customHeight="1" x14ac:dyDescent="0.2">
      <c r="B17" s="676">
        <v>2</v>
      </c>
      <c r="C17" s="679" t="s">
        <v>1287</v>
      </c>
      <c r="D17" s="678" t="s">
        <v>1282</v>
      </c>
      <c r="E17" s="675"/>
      <c r="F17" s="675"/>
      <c r="G17" s="678" t="s">
        <v>1283</v>
      </c>
      <c r="H17" s="675"/>
      <c r="I17" s="675"/>
      <c r="J17" s="676"/>
      <c r="K17" s="675"/>
      <c r="L17" s="675"/>
      <c r="M17" s="477"/>
      <c r="N17" s="652">
        <v>1</v>
      </c>
      <c r="O17" s="479"/>
      <c r="P17" s="479"/>
      <c r="Q17" s="479"/>
      <c r="R17" s="479"/>
      <c r="S17" s="479"/>
      <c r="T17" s="479"/>
      <c r="U17" s="479"/>
      <c r="V17" s="480"/>
      <c r="W17" s="661"/>
    </row>
    <row r="18" spans="1:23" s="475" customFormat="1" ht="30" customHeight="1" x14ac:dyDescent="0.2">
      <c r="B18" s="476">
        <v>3</v>
      </c>
      <c r="C18" s="673" t="s">
        <v>1288</v>
      </c>
      <c r="D18" s="490"/>
      <c r="E18" s="476">
        <f>SUM(E19:E20)</f>
        <v>0</v>
      </c>
      <c r="F18" s="476">
        <f>SUM(F19:F20)</f>
        <v>0</v>
      </c>
      <c r="G18" s="490"/>
      <c r="H18" s="476">
        <f>SUM(H19:H20)</f>
        <v>0</v>
      </c>
      <c r="I18" s="476">
        <f>SUM(I19:I20)</f>
        <v>0</v>
      </c>
      <c r="J18" s="490"/>
      <c r="K18" s="476">
        <f>SUM(K19:K20)</f>
        <v>0</v>
      </c>
      <c r="L18" s="476">
        <f>SUM(L19:L20)</f>
        <v>0</v>
      </c>
      <c r="M18" s="485"/>
      <c r="N18" s="690">
        <v>1</v>
      </c>
      <c r="O18" s="485"/>
      <c r="P18" s="485"/>
      <c r="Q18" s="485"/>
      <c r="R18" s="485"/>
      <c r="S18" s="485"/>
      <c r="T18" s="485"/>
      <c r="U18" s="485"/>
      <c r="V18" s="485"/>
      <c r="W18" s="490"/>
    </row>
    <row r="19" spans="1:23" s="475" customFormat="1" ht="30" customHeight="1" x14ac:dyDescent="0.2">
      <c r="B19" s="676">
        <v>3.1</v>
      </c>
      <c r="C19" s="679" t="s">
        <v>1289</v>
      </c>
      <c r="D19" s="678" t="s">
        <v>1282</v>
      </c>
      <c r="E19" s="675"/>
      <c r="F19" s="675"/>
      <c r="G19" s="678" t="s">
        <v>1283</v>
      </c>
      <c r="H19" s="675"/>
      <c r="I19" s="675"/>
      <c r="J19" s="676"/>
      <c r="K19" s="675"/>
      <c r="L19" s="675"/>
      <c r="M19" s="477"/>
      <c r="N19" s="478">
        <v>1</v>
      </c>
      <c r="O19" s="479"/>
      <c r="P19" s="479"/>
      <c r="Q19" s="479"/>
      <c r="R19" s="479"/>
      <c r="S19" s="479"/>
      <c r="T19" s="479"/>
      <c r="U19" s="479"/>
      <c r="V19" s="480"/>
      <c r="W19" s="661"/>
    </row>
    <row r="20" spans="1:23" s="475" customFormat="1" ht="30" customHeight="1" x14ac:dyDescent="0.2">
      <c r="B20" s="676">
        <v>3.2</v>
      </c>
      <c r="C20" s="679" t="s">
        <v>1290</v>
      </c>
      <c r="D20" s="678" t="s">
        <v>1282</v>
      </c>
      <c r="E20" s="675"/>
      <c r="F20" s="675"/>
      <c r="G20" s="678" t="s">
        <v>1283</v>
      </c>
      <c r="H20" s="675"/>
      <c r="I20" s="675"/>
      <c r="J20" s="676"/>
      <c r="K20" s="675"/>
      <c r="L20" s="675"/>
      <c r="M20" s="477"/>
      <c r="N20" s="478">
        <v>1</v>
      </c>
      <c r="O20" s="479"/>
      <c r="P20" s="479"/>
      <c r="Q20" s="479"/>
      <c r="R20" s="479"/>
      <c r="S20" s="479"/>
      <c r="T20" s="479"/>
      <c r="U20" s="479"/>
      <c r="V20" s="480"/>
      <c r="W20" s="661"/>
    </row>
    <row r="21" spans="1:23" ht="30" customHeight="1" x14ac:dyDescent="0.2">
      <c r="A21" s="475"/>
      <c r="B21" s="476">
        <v>4</v>
      </c>
      <c r="C21" s="691" t="s">
        <v>1291</v>
      </c>
      <c r="D21" s="490"/>
      <c r="E21" s="476">
        <f>SUM(E22:E23)</f>
        <v>0</v>
      </c>
      <c r="F21" s="476">
        <f>SUM(F22:F23)</f>
        <v>0</v>
      </c>
      <c r="G21" s="490"/>
      <c r="H21" s="476">
        <f>SUM(H22:H23)</f>
        <v>0</v>
      </c>
      <c r="I21" s="476">
        <f>SUM(I22:I23)</f>
        <v>0</v>
      </c>
      <c r="J21" s="490"/>
      <c r="K21" s="476">
        <f>SUM(K22:K23)</f>
        <v>0</v>
      </c>
      <c r="L21" s="476">
        <f>SUM(L22:L23)</f>
        <v>0</v>
      </c>
      <c r="M21" s="486"/>
      <c r="N21" s="690">
        <v>1</v>
      </c>
      <c r="O21" s="485"/>
      <c r="P21" s="485"/>
      <c r="Q21" s="485"/>
      <c r="R21" s="485"/>
      <c r="S21" s="485"/>
      <c r="T21" s="485"/>
      <c r="U21" s="485"/>
      <c r="V21" s="487"/>
      <c r="W21" s="490"/>
    </row>
    <row r="22" spans="1:23" s="475" customFormat="1" ht="30" customHeight="1" x14ac:dyDescent="0.2">
      <c r="B22" s="676">
        <v>4.0999999999999996</v>
      </c>
      <c r="C22" s="679" t="s">
        <v>1292</v>
      </c>
      <c r="D22" s="678" t="s">
        <v>1282</v>
      </c>
      <c r="E22" s="675"/>
      <c r="F22" s="675"/>
      <c r="G22" s="678" t="s">
        <v>1283</v>
      </c>
      <c r="H22" s="675"/>
      <c r="I22" s="675"/>
      <c r="J22" s="676" t="s">
        <v>7</v>
      </c>
      <c r="K22" s="675"/>
      <c r="L22" s="675"/>
      <c r="M22" s="488"/>
      <c r="N22" s="478">
        <v>1</v>
      </c>
      <c r="O22" s="479"/>
      <c r="P22" s="479"/>
      <c r="Q22" s="479"/>
      <c r="R22" s="479"/>
      <c r="S22" s="479"/>
      <c r="T22" s="479"/>
      <c r="U22" s="479"/>
      <c r="V22" s="479"/>
      <c r="W22" s="661"/>
    </row>
    <row r="23" spans="1:23" s="475" customFormat="1" ht="30" customHeight="1" x14ac:dyDescent="0.2">
      <c r="B23" s="676">
        <v>4.2</v>
      </c>
      <c r="C23" s="679" t="s">
        <v>1291</v>
      </c>
      <c r="D23" s="678" t="s">
        <v>1282</v>
      </c>
      <c r="E23" s="675"/>
      <c r="F23" s="675"/>
      <c r="G23" s="678" t="s">
        <v>1283</v>
      </c>
      <c r="H23" s="675"/>
      <c r="I23" s="675"/>
      <c r="J23" s="676" t="s">
        <v>7</v>
      </c>
      <c r="K23" s="675"/>
      <c r="L23" s="675"/>
      <c r="M23" s="488"/>
      <c r="N23" s="478">
        <v>1</v>
      </c>
      <c r="O23" s="479"/>
      <c r="P23" s="479"/>
      <c r="Q23" s="479"/>
      <c r="R23" s="479"/>
      <c r="S23" s="479"/>
      <c r="T23" s="479"/>
      <c r="U23" s="479"/>
      <c r="V23" s="479"/>
      <c r="W23" s="661"/>
    </row>
    <row r="24" spans="1:23" s="475" customFormat="1" ht="30" customHeight="1" x14ac:dyDescent="0.2">
      <c r="B24" s="676">
        <v>5</v>
      </c>
      <c r="C24" s="679" t="s">
        <v>1293</v>
      </c>
      <c r="D24" s="678" t="s">
        <v>1282</v>
      </c>
      <c r="E24" s="675"/>
      <c r="F24" s="675"/>
      <c r="G24" s="678" t="s">
        <v>1283</v>
      </c>
      <c r="H24" s="675"/>
      <c r="I24" s="675"/>
      <c r="J24" s="676" t="s">
        <v>7</v>
      </c>
      <c r="K24" s="675"/>
      <c r="L24" s="675"/>
      <c r="M24" s="488"/>
      <c r="N24" s="478">
        <v>1</v>
      </c>
      <c r="O24" s="479"/>
      <c r="P24" s="479"/>
      <c r="Q24" s="479"/>
      <c r="R24" s="479"/>
      <c r="S24" s="479"/>
      <c r="T24" s="479"/>
      <c r="U24" s="479"/>
      <c r="V24" s="479"/>
      <c r="W24" s="661"/>
    </row>
    <row r="25" spans="1:23" s="475" customFormat="1" ht="30" customHeight="1" x14ac:dyDescent="0.2">
      <c r="B25" s="676">
        <v>6</v>
      </c>
      <c r="C25" s="677" t="s">
        <v>1294</v>
      </c>
      <c r="D25" s="678" t="s">
        <v>1282</v>
      </c>
      <c r="E25" s="675"/>
      <c r="F25" s="675"/>
      <c r="G25" s="678" t="s">
        <v>1283</v>
      </c>
      <c r="H25" s="675"/>
      <c r="I25" s="675"/>
      <c r="J25" s="676" t="s">
        <v>7</v>
      </c>
      <c r="K25" s="675"/>
      <c r="L25" s="675"/>
      <c r="M25" s="488"/>
      <c r="N25" s="478">
        <v>1</v>
      </c>
      <c r="O25" s="479"/>
      <c r="P25" s="479"/>
      <c r="Q25" s="479"/>
      <c r="R25" s="479"/>
      <c r="S25" s="479"/>
      <c r="T25" s="479"/>
      <c r="U25" s="479"/>
      <c r="V25" s="479"/>
      <c r="W25" s="661"/>
    </row>
    <row r="26" spans="1:23" ht="33" customHeight="1" x14ac:dyDescent="0.2">
      <c r="A26" s="475"/>
      <c r="B26" s="489"/>
      <c r="C26" s="692" t="s">
        <v>1295</v>
      </c>
      <c r="D26" s="490" t="s">
        <v>1243</v>
      </c>
      <c r="E26" s="476">
        <f>SUM(E18,E21,E24:E25)</f>
        <v>0</v>
      </c>
      <c r="F26" s="476">
        <f>SUM(F18,F21,F24:F25)</f>
        <v>0</v>
      </c>
      <c r="G26" s="490" t="s">
        <v>1243</v>
      </c>
      <c r="H26" s="476">
        <f>SUM(H18,H21,H24:H25)</f>
        <v>0</v>
      </c>
      <c r="I26" s="476">
        <f>SUM(I18,I21,I24:I25)</f>
        <v>0</v>
      </c>
      <c r="J26" s="490" t="s">
        <v>1243</v>
      </c>
      <c r="K26" s="476">
        <f>SUM(K18,K21,K24:K25)</f>
        <v>0</v>
      </c>
      <c r="L26" s="476">
        <f>SUM(L18,L21,L24:L25)</f>
        <v>0</v>
      </c>
      <c r="M26" s="990" t="s">
        <v>1243</v>
      </c>
      <c r="N26" s="991"/>
      <c r="O26" s="991"/>
      <c r="P26" s="991"/>
      <c r="Q26" s="991"/>
      <c r="R26" s="991"/>
      <c r="S26" s="991"/>
      <c r="T26" s="991"/>
      <c r="U26" s="991"/>
      <c r="V26" s="992"/>
      <c r="W26" s="490" t="s">
        <v>1243</v>
      </c>
    </row>
    <row r="27" spans="1:23" x14ac:dyDescent="0.2">
      <c r="A27" s="475"/>
    </row>
    <row r="28" spans="1:23" x14ac:dyDescent="0.2">
      <c r="A28" s="475"/>
    </row>
    <row r="29" spans="1:23" x14ac:dyDescent="0.2">
      <c r="A29" s="475"/>
      <c r="D29" s="974" t="s">
        <v>1159</v>
      </c>
      <c r="E29" s="974"/>
      <c r="F29" s="392"/>
      <c r="G29" s="393"/>
      <c r="H29" s="392"/>
    </row>
    <row r="30" spans="1:23" x14ac:dyDescent="0.2">
      <c r="A30" s="475"/>
      <c r="D30" s="394"/>
      <c r="E30" s="393"/>
      <c r="F30" s="392"/>
      <c r="G30" s="393"/>
      <c r="H30" s="392"/>
    </row>
    <row r="31" spans="1:23" x14ac:dyDescent="0.2">
      <c r="A31" s="475"/>
      <c r="D31" s="394"/>
      <c r="E31" s="393" t="s">
        <v>1160</v>
      </c>
      <c r="F31" s="914"/>
      <c r="G31" s="914"/>
      <c r="H31" s="392"/>
      <c r="K31" s="392" t="s">
        <v>34</v>
      </c>
    </row>
    <row r="32" spans="1:23" x14ac:dyDescent="0.2">
      <c r="A32" s="475"/>
      <c r="D32" s="394"/>
      <c r="E32" s="393"/>
      <c r="F32" s="912" t="s">
        <v>1434</v>
      </c>
      <c r="G32" s="912"/>
      <c r="H32" s="392"/>
      <c r="K32" s="392"/>
    </row>
    <row r="33" spans="4:12" x14ac:dyDescent="0.2">
      <c r="D33" s="397"/>
      <c r="E33" s="394" t="s">
        <v>1394</v>
      </c>
      <c r="F33" s="914"/>
      <c r="G33" s="914"/>
      <c r="H33" s="392"/>
      <c r="K33" s="392" t="s">
        <v>36</v>
      </c>
      <c r="L33" s="118"/>
    </row>
  </sheetData>
  <sheetProtection algorithmName="SHA-512" hashValue="0fg9NbxA4en+Ev5kFsFhwsXY0N4MKNrN8nmp+dYJu/AwWvHk50pRnvpxPDdpFUz+Jt7JX6BaPrJsMjNJuh6w/A==" saltValue="KRI9NlXuBMyLuMwi7a12vA==" spinCount="100000" sheet="1" objects="1" scenarios="1" selectLockedCells="1"/>
  <mergeCells count="26">
    <mergeCell ref="M13:V13"/>
    <mergeCell ref="M26:V26"/>
    <mergeCell ref="U11:V11"/>
    <mergeCell ref="E3:F3"/>
    <mergeCell ref="E4:F4"/>
    <mergeCell ref="E5:F5"/>
    <mergeCell ref="E6:F6"/>
    <mergeCell ref="E7:F7"/>
    <mergeCell ref="E8:F8"/>
    <mergeCell ref="G3:H3"/>
    <mergeCell ref="D29:E29"/>
    <mergeCell ref="F31:G31"/>
    <mergeCell ref="F32:G32"/>
    <mergeCell ref="F33:G33"/>
    <mergeCell ref="D1:I1"/>
    <mergeCell ref="B9:W9"/>
    <mergeCell ref="B10:B12"/>
    <mergeCell ref="C10:C12"/>
    <mergeCell ref="W10:W12"/>
    <mergeCell ref="D10:F11"/>
    <mergeCell ref="G10:I11"/>
    <mergeCell ref="J10:L11"/>
    <mergeCell ref="M10:V10"/>
    <mergeCell ref="M11:N12"/>
    <mergeCell ref="O11:Q11"/>
    <mergeCell ref="R11:T11"/>
  </mergeCells>
  <dataValidations count="2">
    <dataValidation type="decimal" allowBlank="1" showInputMessage="1" showErrorMessage="1" errorTitle="Анхаар" error="Зөвхөн тоо оруулана уу." sqref="O19:V20 O14:V17 O22:V25">
      <formula1>-9.99999999999999E+35</formula1>
      <formula2>9.99999999999999E+36</formula2>
    </dataValidation>
    <dataValidation type="decimal" allowBlank="1" showInputMessage="1" showErrorMessage="1" errorTitle="Анхаар" error="Зөвхөн тоо оруулана уу." sqref="E19:F20 E22:F25 K19:L20 H22:I25 H14:I17 H19:I20 E14:F17 K14:L17 K22:L25">
      <formula1>-9.99999999999999E+34</formula1>
      <formula2>9.99999999999999E+35</formula2>
    </dataValidation>
  </dataValidations>
  <pageMargins left="0.25" right="0.25" top="0.75" bottom="0.75" header="0.3" footer="0.3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13</xdr:row>
                    <xdr:rowOff>133350</xdr:rowOff>
                  </from>
                  <to>
                    <xdr:col>12</xdr:col>
                    <xdr:colOff>228600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16</xdr:row>
                    <xdr:rowOff>133350</xdr:rowOff>
                  </from>
                  <to>
                    <xdr:col>12</xdr:col>
                    <xdr:colOff>228600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18</xdr:row>
                    <xdr:rowOff>133350</xdr:rowOff>
                  </from>
                  <to>
                    <xdr:col>12</xdr:col>
                    <xdr:colOff>228600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19</xdr:row>
                    <xdr:rowOff>133350</xdr:rowOff>
                  </from>
                  <to>
                    <xdr:col>12</xdr:col>
                    <xdr:colOff>228600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21</xdr:row>
                    <xdr:rowOff>133350</xdr:rowOff>
                  </from>
                  <to>
                    <xdr:col>12</xdr:col>
                    <xdr:colOff>228600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22</xdr:row>
                    <xdr:rowOff>133350</xdr:rowOff>
                  </from>
                  <to>
                    <xdr:col>12</xdr:col>
                    <xdr:colOff>228600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23</xdr:row>
                    <xdr:rowOff>133350</xdr:rowOff>
                  </from>
                  <to>
                    <xdr:col>12</xdr:col>
                    <xdr:colOff>228600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24</xdr:row>
                    <xdr:rowOff>133350</xdr:rowOff>
                  </from>
                  <to>
                    <xdr:col>12</xdr:col>
                    <xdr:colOff>228600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14</xdr:row>
                    <xdr:rowOff>133350</xdr:rowOff>
                  </from>
                  <to>
                    <xdr:col>12</xdr:col>
                    <xdr:colOff>228600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15</xdr:row>
                    <xdr:rowOff>133350</xdr:rowOff>
                  </from>
                  <to>
                    <xdr:col>12</xdr:col>
                    <xdr:colOff>228600</xdr:colOff>
                    <xdr:row>15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R27"/>
  <sheetViews>
    <sheetView showGridLines="0" tabSelected="1" zoomScaleNormal="100" workbookViewId="0">
      <selection activeCell="D11" sqref="D11"/>
    </sheetView>
  </sheetViews>
  <sheetFormatPr defaultRowHeight="15" x14ac:dyDescent="0.25"/>
  <cols>
    <col min="1" max="1" width="9.140625" style="408"/>
    <col min="2" max="2" width="30.42578125" style="408" customWidth="1"/>
    <col min="3" max="4" width="20.42578125" style="408" customWidth="1"/>
    <col min="5" max="5" width="25.28515625" style="408" customWidth="1"/>
    <col min="6" max="6" width="26.140625" style="408" customWidth="1"/>
    <col min="7" max="8" width="17.42578125" style="408" customWidth="1"/>
    <col min="9" max="9" width="24" style="408" customWidth="1"/>
    <col min="10" max="10" width="28.7109375" style="408" customWidth="1"/>
    <col min="11" max="14" width="9.140625" style="712"/>
    <col min="15" max="15" width="0" style="712" hidden="1" customWidth="1"/>
    <col min="16" max="70" width="9.140625" style="712"/>
    <col min="71" max="16384" width="9.140625" style="408"/>
  </cols>
  <sheetData>
    <row r="1" spans="1:70" s="117" customFormat="1" ht="99" customHeight="1" x14ac:dyDescent="0.2">
      <c r="B1" s="996" t="s">
        <v>1272</v>
      </c>
      <c r="C1" s="996"/>
      <c r="D1" s="996"/>
      <c r="E1" s="996"/>
      <c r="F1" s="996"/>
      <c r="G1" s="996"/>
      <c r="H1" s="996"/>
      <c r="I1" s="996"/>
      <c r="J1" s="385" t="s">
        <v>1296</v>
      </c>
    </row>
    <row r="2" spans="1:70" s="107" customFormat="1" ht="25.5" customHeight="1" x14ac:dyDescent="0.25">
      <c r="A2" s="119" t="s">
        <v>0</v>
      </c>
      <c r="C2" s="387"/>
      <c r="D2" s="144"/>
      <c r="E2" s="107" t="s">
        <v>283</v>
      </c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766"/>
      <c r="X2" s="766"/>
      <c r="Y2" s="766"/>
      <c r="Z2" s="766"/>
      <c r="AA2" s="766"/>
      <c r="AB2" s="766"/>
      <c r="AC2" s="766"/>
      <c r="AD2" s="766"/>
      <c r="AE2" s="766"/>
      <c r="AF2" s="766"/>
      <c r="AG2" s="766"/>
      <c r="AH2" s="766"/>
      <c r="AI2" s="766"/>
      <c r="AJ2" s="766"/>
      <c r="AK2" s="766"/>
      <c r="AL2" s="766"/>
      <c r="AM2" s="766"/>
      <c r="AN2" s="766"/>
      <c r="AO2" s="766"/>
      <c r="AP2" s="766"/>
      <c r="AQ2" s="766"/>
      <c r="AR2" s="766"/>
      <c r="AS2" s="766"/>
      <c r="AT2" s="766"/>
      <c r="AU2" s="766"/>
      <c r="AV2" s="766"/>
      <c r="AW2" s="766"/>
      <c r="AX2" s="766"/>
      <c r="AY2" s="766"/>
      <c r="AZ2" s="766"/>
      <c r="BA2" s="766"/>
      <c r="BB2" s="766"/>
      <c r="BC2" s="766"/>
      <c r="BD2" s="766"/>
      <c r="BE2" s="766"/>
      <c r="BF2" s="766"/>
      <c r="BG2" s="766"/>
      <c r="BH2" s="766"/>
      <c r="BI2" s="766"/>
      <c r="BJ2" s="766"/>
      <c r="BK2" s="766"/>
      <c r="BL2" s="766"/>
      <c r="BM2" s="766"/>
      <c r="BN2" s="766"/>
      <c r="BO2" s="766"/>
      <c r="BP2" s="766"/>
      <c r="BQ2" s="766"/>
      <c r="BR2" s="766"/>
    </row>
    <row r="3" spans="1:70" s="107" customFormat="1" ht="9" customHeight="1" x14ac:dyDescent="0.25">
      <c r="A3" s="119"/>
      <c r="C3" s="695" t="s">
        <v>1429</v>
      </c>
      <c r="D3" s="542"/>
      <c r="F3" s="416" t="s">
        <v>1431</v>
      </c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766"/>
      <c r="X3" s="766"/>
      <c r="Y3" s="766"/>
      <c r="Z3" s="766"/>
      <c r="AA3" s="766"/>
      <c r="AB3" s="766"/>
      <c r="AC3" s="766"/>
      <c r="AD3" s="766"/>
      <c r="AE3" s="766"/>
      <c r="AF3" s="766"/>
      <c r="AG3" s="766"/>
      <c r="AH3" s="766"/>
      <c r="AI3" s="766"/>
      <c r="AJ3" s="766"/>
      <c r="AK3" s="766"/>
      <c r="AL3" s="766"/>
      <c r="AM3" s="766"/>
      <c r="AN3" s="766"/>
      <c r="AO3" s="766"/>
      <c r="AP3" s="766"/>
      <c r="AQ3" s="766"/>
      <c r="AR3" s="766"/>
      <c r="AS3" s="766"/>
      <c r="AT3" s="766"/>
      <c r="AU3" s="766"/>
      <c r="AV3" s="766"/>
      <c r="AW3" s="766"/>
      <c r="AX3" s="766"/>
      <c r="AY3" s="766"/>
      <c r="AZ3" s="766"/>
      <c r="BA3" s="766"/>
      <c r="BB3" s="766"/>
      <c r="BC3" s="766"/>
      <c r="BD3" s="766"/>
      <c r="BE3" s="766"/>
      <c r="BF3" s="766"/>
      <c r="BG3" s="766"/>
      <c r="BH3" s="766"/>
      <c r="BI3" s="766"/>
      <c r="BJ3" s="766"/>
      <c r="BK3" s="766"/>
      <c r="BL3" s="766"/>
      <c r="BM3" s="766"/>
      <c r="BN3" s="766"/>
      <c r="BO3" s="766"/>
      <c r="BP3" s="766"/>
      <c r="BQ3" s="766"/>
      <c r="BR3" s="766"/>
    </row>
    <row r="4" spans="1:70" s="107" customFormat="1" ht="24" customHeight="1" x14ac:dyDescent="0.25">
      <c r="A4" s="119" t="s">
        <v>1</v>
      </c>
      <c r="C4" s="387"/>
      <c r="D4" s="144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A4" s="766"/>
      <c r="AB4" s="766"/>
      <c r="AC4" s="766"/>
      <c r="AD4" s="766"/>
      <c r="AE4" s="766"/>
      <c r="AF4" s="766"/>
      <c r="AG4" s="766"/>
      <c r="AH4" s="766"/>
      <c r="AI4" s="766"/>
      <c r="AJ4" s="766"/>
      <c r="AK4" s="766"/>
      <c r="AL4" s="766"/>
      <c r="AM4" s="766"/>
      <c r="AN4" s="766"/>
      <c r="AO4" s="766"/>
      <c r="AP4" s="766"/>
      <c r="AQ4" s="766"/>
      <c r="AR4" s="766"/>
      <c r="AS4" s="766"/>
      <c r="AT4" s="766"/>
      <c r="AU4" s="766"/>
      <c r="AV4" s="766"/>
      <c r="AW4" s="766"/>
      <c r="AX4" s="766"/>
      <c r="AY4" s="766"/>
      <c r="AZ4" s="766"/>
      <c r="BA4" s="766"/>
      <c r="BB4" s="766"/>
      <c r="BC4" s="766"/>
      <c r="BD4" s="766"/>
      <c r="BE4" s="766"/>
      <c r="BF4" s="766"/>
      <c r="BG4" s="766"/>
      <c r="BH4" s="766"/>
      <c r="BI4" s="766"/>
      <c r="BJ4" s="766"/>
      <c r="BK4" s="766"/>
      <c r="BL4" s="766"/>
      <c r="BM4" s="766"/>
      <c r="BN4" s="766"/>
      <c r="BO4" s="766"/>
      <c r="BP4" s="766"/>
      <c r="BQ4" s="766"/>
      <c r="BR4" s="766"/>
    </row>
    <row r="5" spans="1:70" s="107" customFormat="1" ht="8.25" customHeight="1" x14ac:dyDescent="0.25">
      <c r="A5" s="701"/>
      <c r="C5" s="695" t="s">
        <v>1430</v>
      </c>
      <c r="D5" s="702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A5" s="766"/>
      <c r="AB5" s="766"/>
      <c r="AC5" s="766"/>
      <c r="AD5" s="766"/>
      <c r="AE5" s="766"/>
      <c r="AF5" s="766"/>
      <c r="AG5" s="766"/>
      <c r="AH5" s="766"/>
      <c r="AI5" s="766"/>
      <c r="AJ5" s="766"/>
      <c r="AK5" s="766"/>
      <c r="AL5" s="766"/>
      <c r="AM5" s="766"/>
      <c r="AN5" s="766"/>
      <c r="AO5" s="766"/>
      <c r="AP5" s="766"/>
      <c r="AQ5" s="766"/>
      <c r="AR5" s="766"/>
      <c r="AS5" s="766"/>
      <c r="AT5" s="766"/>
      <c r="AU5" s="766"/>
      <c r="AV5" s="766"/>
      <c r="AW5" s="766"/>
      <c r="AX5" s="766"/>
      <c r="AY5" s="766"/>
      <c r="AZ5" s="766"/>
      <c r="BA5" s="766"/>
      <c r="BB5" s="766"/>
      <c r="BC5" s="766"/>
      <c r="BD5" s="766"/>
      <c r="BE5" s="766"/>
      <c r="BF5" s="766"/>
      <c r="BG5" s="766"/>
      <c r="BH5" s="766"/>
      <c r="BI5" s="766"/>
      <c r="BJ5" s="766"/>
      <c r="BK5" s="766"/>
      <c r="BL5" s="766"/>
      <c r="BM5" s="766"/>
      <c r="BN5" s="766"/>
      <c r="BO5" s="766"/>
      <c r="BP5" s="766"/>
      <c r="BQ5" s="766"/>
      <c r="BR5" s="766"/>
    </row>
    <row r="6" spans="1:70" ht="65.25" customHeight="1" x14ac:dyDescent="0.25">
      <c r="A6" s="997" t="s">
        <v>1297</v>
      </c>
      <c r="B6" s="997"/>
      <c r="C6" s="997"/>
      <c r="D6" s="997"/>
      <c r="E6" s="997"/>
      <c r="F6" s="997"/>
      <c r="G6" s="997"/>
      <c r="H6" s="997"/>
      <c r="I6" s="997"/>
      <c r="J6" s="997"/>
    </row>
    <row r="7" spans="1:70" ht="38.25" customHeight="1" x14ac:dyDescent="0.25">
      <c r="A7" s="907" t="s">
        <v>2</v>
      </c>
      <c r="B7" s="907" t="s">
        <v>8</v>
      </c>
      <c r="C7" s="909" t="s">
        <v>1298</v>
      </c>
      <c r="D7" s="910"/>
      <c r="E7" s="911"/>
      <c r="F7" s="909" t="s">
        <v>1299</v>
      </c>
      <c r="G7" s="910"/>
      <c r="H7" s="910"/>
      <c r="I7" s="911"/>
      <c r="J7" s="999" t="s">
        <v>3</v>
      </c>
    </row>
    <row r="8" spans="1:70" ht="23.25" customHeight="1" x14ac:dyDescent="0.25">
      <c r="A8" s="998"/>
      <c r="B8" s="998"/>
      <c r="C8" s="907" t="s">
        <v>4</v>
      </c>
      <c r="D8" s="1000" t="s">
        <v>5</v>
      </c>
      <c r="E8" s="1000" t="s">
        <v>6</v>
      </c>
      <c r="F8" s="907" t="s">
        <v>1300</v>
      </c>
      <c r="G8" s="909" t="s">
        <v>1301</v>
      </c>
      <c r="H8" s="910"/>
      <c r="I8" s="911"/>
      <c r="J8" s="999"/>
    </row>
    <row r="9" spans="1:70" ht="30" customHeight="1" x14ac:dyDescent="0.25">
      <c r="A9" s="908"/>
      <c r="B9" s="908"/>
      <c r="C9" s="908"/>
      <c r="D9" s="1001"/>
      <c r="E9" s="1001"/>
      <c r="F9" s="908"/>
      <c r="G9" s="424" t="s">
        <v>4</v>
      </c>
      <c r="H9" s="491" t="s">
        <v>5</v>
      </c>
      <c r="I9" s="491" t="s">
        <v>6</v>
      </c>
      <c r="J9" s="999"/>
    </row>
    <row r="10" spans="1:70" x14ac:dyDescent="0.25">
      <c r="A10" s="412">
        <v>1</v>
      </c>
      <c r="B10" s="412">
        <v>2</v>
      </c>
      <c r="C10" s="412">
        <v>3</v>
      </c>
      <c r="D10" s="412">
        <v>4</v>
      </c>
      <c r="E10" s="412">
        <v>5</v>
      </c>
      <c r="F10" s="412">
        <v>6</v>
      </c>
      <c r="G10" s="412">
        <v>7</v>
      </c>
      <c r="H10" s="412">
        <v>8</v>
      </c>
      <c r="I10" s="412">
        <v>9</v>
      </c>
      <c r="J10" s="412">
        <v>10</v>
      </c>
    </row>
    <row r="11" spans="1:70" ht="30" customHeight="1" x14ac:dyDescent="0.25">
      <c r="A11" s="297">
        <v>1</v>
      </c>
      <c r="B11" s="426" t="s">
        <v>1255</v>
      </c>
      <c r="C11" s="297" t="s">
        <v>1302</v>
      </c>
      <c r="D11" s="260"/>
      <c r="E11" s="260"/>
      <c r="F11" s="361"/>
      <c r="G11" s="297" t="s">
        <v>7</v>
      </c>
      <c r="H11" s="260"/>
      <c r="I11" s="260"/>
      <c r="J11" s="414"/>
    </row>
    <row r="12" spans="1:70" ht="30" customHeight="1" x14ac:dyDescent="0.25">
      <c r="A12" s="297">
        <v>2</v>
      </c>
      <c r="B12" s="426" t="s">
        <v>1303</v>
      </c>
      <c r="C12" s="297" t="s">
        <v>1302</v>
      </c>
      <c r="D12" s="260"/>
      <c r="E12" s="260"/>
      <c r="F12" s="361"/>
      <c r="G12" s="297" t="s">
        <v>7</v>
      </c>
      <c r="H12" s="260"/>
      <c r="I12" s="260"/>
      <c r="J12" s="414"/>
    </row>
    <row r="13" spans="1:70" ht="30" customHeight="1" x14ac:dyDescent="0.25">
      <c r="A13" s="297">
        <v>3</v>
      </c>
      <c r="B13" s="426" t="s">
        <v>1304</v>
      </c>
      <c r="C13" s="297" t="s">
        <v>1302</v>
      </c>
      <c r="D13" s="260"/>
      <c r="E13" s="260"/>
      <c r="F13" s="361"/>
      <c r="G13" s="297" t="s">
        <v>7</v>
      </c>
      <c r="H13" s="260"/>
      <c r="I13" s="260"/>
      <c r="J13" s="414"/>
    </row>
    <row r="14" spans="1:70" ht="30" customHeight="1" x14ac:dyDescent="0.25">
      <c r="A14" s="297">
        <v>4</v>
      </c>
      <c r="B14" s="426" t="s">
        <v>1305</v>
      </c>
      <c r="C14" s="297" t="s">
        <v>1302</v>
      </c>
      <c r="D14" s="260"/>
      <c r="E14" s="260"/>
      <c r="F14" s="361"/>
      <c r="G14" s="297" t="s">
        <v>7</v>
      </c>
      <c r="H14" s="260"/>
      <c r="I14" s="260"/>
      <c r="J14" s="414"/>
    </row>
    <row r="15" spans="1:70" ht="30" customHeight="1" x14ac:dyDescent="0.25">
      <c r="A15" s="297">
        <v>5</v>
      </c>
      <c r="B15" s="426" t="s">
        <v>1306</v>
      </c>
      <c r="C15" s="297" t="s">
        <v>1302</v>
      </c>
      <c r="D15" s="260"/>
      <c r="E15" s="260"/>
      <c r="F15" s="361"/>
      <c r="G15" s="297" t="s">
        <v>7</v>
      </c>
      <c r="H15" s="260"/>
      <c r="I15" s="260"/>
      <c r="J15" s="414"/>
    </row>
    <row r="16" spans="1:70" ht="30" customHeight="1" x14ac:dyDescent="0.25">
      <c r="A16" s="297">
        <v>6</v>
      </c>
      <c r="B16" s="426" t="s">
        <v>1307</v>
      </c>
      <c r="C16" s="297" t="s">
        <v>1302</v>
      </c>
      <c r="D16" s="260"/>
      <c r="E16" s="260"/>
      <c r="F16" s="361"/>
      <c r="G16" s="297" t="s">
        <v>7</v>
      </c>
      <c r="H16" s="260"/>
      <c r="I16" s="260"/>
      <c r="J16" s="414"/>
    </row>
    <row r="17" spans="1:13" ht="48" customHeight="1" x14ac:dyDescent="0.25">
      <c r="A17" s="297">
        <v>7</v>
      </c>
      <c r="B17" s="426" t="s">
        <v>1308</v>
      </c>
      <c r="C17" s="492" t="s">
        <v>1243</v>
      </c>
      <c r="D17" s="492"/>
      <c r="E17" s="492"/>
      <c r="F17" s="361"/>
      <c r="G17" s="297" t="s">
        <v>7</v>
      </c>
      <c r="H17" s="260"/>
      <c r="I17" s="260"/>
      <c r="J17" s="414"/>
    </row>
    <row r="18" spans="1:13" ht="48" customHeight="1" x14ac:dyDescent="0.25">
      <c r="A18" s="297">
        <v>8</v>
      </c>
      <c r="B18" s="426" t="s">
        <v>9</v>
      </c>
      <c r="C18" s="492" t="s">
        <v>1243</v>
      </c>
      <c r="D18" s="492"/>
      <c r="E18" s="492"/>
      <c r="F18" s="361"/>
      <c r="G18" s="297" t="s">
        <v>7</v>
      </c>
      <c r="H18" s="260"/>
      <c r="I18" s="260"/>
      <c r="J18" s="414"/>
    </row>
    <row r="19" spans="1:13" ht="36" customHeight="1" x14ac:dyDescent="0.25">
      <c r="A19" s="424"/>
      <c r="B19" s="424" t="s">
        <v>1231</v>
      </c>
      <c r="C19" s="492" t="s">
        <v>1243</v>
      </c>
      <c r="D19" s="161">
        <f>SUM(D11:D16)</f>
        <v>0</v>
      </c>
      <c r="E19" s="161">
        <f>SUM(E11:E16)</f>
        <v>0</v>
      </c>
      <c r="F19" s="492" t="s">
        <v>1243</v>
      </c>
      <c r="G19" s="424" t="s">
        <v>7</v>
      </c>
      <c r="H19" s="424">
        <f>SUM(H11:H18)</f>
        <v>0</v>
      </c>
      <c r="I19" s="424">
        <f>SUM(I11:I18)</f>
        <v>0</v>
      </c>
      <c r="J19" s="414"/>
    </row>
    <row r="20" spans="1:13" x14ac:dyDescent="0.25">
      <c r="A20" s="493"/>
    </row>
    <row r="22" spans="1:13" x14ac:dyDescent="0.2">
      <c r="B22" s="974" t="s">
        <v>1159</v>
      </c>
      <c r="C22" s="974"/>
      <c r="D22" s="392"/>
      <c r="E22" s="393"/>
      <c r="F22" s="392"/>
      <c r="G22" s="117"/>
      <c r="H22" s="117"/>
      <c r="I22" s="117"/>
      <c r="J22" s="117"/>
      <c r="K22" s="117"/>
      <c r="L22" s="117"/>
      <c r="M22" s="117"/>
    </row>
    <row r="23" spans="1:13" x14ac:dyDescent="0.2">
      <c r="B23" s="394"/>
      <c r="C23" s="393"/>
      <c r="D23" s="392"/>
      <c r="E23" s="393"/>
      <c r="F23" s="392"/>
      <c r="G23" s="117"/>
      <c r="H23" s="117"/>
      <c r="I23" s="117"/>
      <c r="J23" s="117"/>
      <c r="K23" s="117"/>
      <c r="L23" s="117"/>
      <c r="M23" s="117"/>
    </row>
    <row r="24" spans="1:13" x14ac:dyDescent="0.2">
      <c r="B24" s="394"/>
      <c r="C24" s="393" t="s">
        <v>1160</v>
      </c>
      <c r="D24" s="914"/>
      <c r="E24" s="914"/>
      <c r="F24" s="392"/>
      <c r="G24" s="117"/>
      <c r="H24" s="117"/>
      <c r="I24" s="392" t="s">
        <v>34</v>
      </c>
      <c r="J24" s="117"/>
      <c r="K24" s="117"/>
      <c r="L24" s="117"/>
      <c r="M24" s="117"/>
    </row>
    <row r="25" spans="1:13" x14ac:dyDescent="0.2">
      <c r="B25" s="394"/>
      <c r="C25" s="393"/>
      <c r="D25" s="912" t="s">
        <v>1434</v>
      </c>
      <c r="E25" s="912"/>
      <c r="F25" s="392"/>
      <c r="G25" s="117"/>
      <c r="H25" s="117"/>
      <c r="I25" s="392"/>
      <c r="J25" s="117"/>
      <c r="K25" s="117"/>
      <c r="L25" s="117"/>
      <c r="M25" s="117"/>
    </row>
    <row r="26" spans="1:13" x14ac:dyDescent="0.2">
      <c r="B26" s="397"/>
      <c r="C26" s="394" t="s">
        <v>1394</v>
      </c>
      <c r="D26" s="914"/>
      <c r="E26" s="914"/>
      <c r="F26" s="392"/>
      <c r="G26" s="117"/>
      <c r="H26" s="117"/>
      <c r="I26" s="392" t="s">
        <v>36</v>
      </c>
      <c r="J26" s="118"/>
      <c r="K26" s="117"/>
      <c r="L26" s="117"/>
      <c r="M26" s="117"/>
    </row>
    <row r="27" spans="1:13" x14ac:dyDescent="0.2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</row>
  </sheetData>
  <sheetProtection algorithmName="SHA-512" hashValue="om2bCwKHtalWvMK4U2EqLY2M3qxkVF7+m5CKizEZ7bWOgZB/YovhZl5FrXymA59QBoQ7hHZjKuMySBVs4T83bA==" saltValue="PRrzgWEaBI8ktqHThXHBvA==" spinCount="100000" sheet="1" selectLockedCells="1"/>
  <mergeCells count="16">
    <mergeCell ref="B22:C22"/>
    <mergeCell ref="D24:E24"/>
    <mergeCell ref="D25:E25"/>
    <mergeCell ref="D26:E26"/>
    <mergeCell ref="F8:F9"/>
    <mergeCell ref="G8:I8"/>
    <mergeCell ref="B1:I1"/>
    <mergeCell ref="A6:J6"/>
    <mergeCell ref="A7:A9"/>
    <mergeCell ref="B7:B9"/>
    <mergeCell ref="C7:E7"/>
    <mergeCell ref="F7:I7"/>
    <mergeCell ref="J7:J9"/>
    <mergeCell ref="C8:C9"/>
    <mergeCell ref="D8:D9"/>
    <mergeCell ref="E8:E9"/>
  </mergeCells>
  <dataValidations count="1">
    <dataValidation type="decimal" allowBlank="1" showInputMessage="1" showErrorMessage="1" errorTitle="Анхаар" error="Зөвхөн тоо оруулана уу." sqref="D11:E16 H11:I18">
      <formula1>-9.99999999999999E+33</formula1>
      <formula2>9.99999999999999E+34</formula2>
    </dataValidation>
  </dataValidations>
  <pageMargins left="0.25" right="0.25" top="0.75" bottom="0.75" header="0.3" footer="0.3"/>
  <pageSetup paperSize="9" scale="65" orientation="landscape" horizontalDpi="4294967293" r:id="rId1"/>
  <ignoredErrors>
    <ignoredError sqref="D19:E19" formulaRange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D90"/>
  <sheetViews>
    <sheetView showGridLines="0" zoomScale="90" zoomScaleNormal="90" workbookViewId="0">
      <selection activeCell="H11" sqref="H11"/>
    </sheetView>
  </sheetViews>
  <sheetFormatPr defaultRowHeight="14.25" x14ac:dyDescent="0.2"/>
  <cols>
    <col min="1" max="1" width="6" style="494" customWidth="1"/>
    <col min="2" max="2" width="34.42578125" style="494" customWidth="1"/>
    <col min="3" max="3" width="14.85546875" style="494" customWidth="1"/>
    <col min="4" max="4" width="13.140625" style="494" customWidth="1"/>
    <col min="5" max="7" width="12.85546875" style="494" customWidth="1"/>
    <col min="8" max="8" width="16.42578125" style="511" customWidth="1"/>
    <col min="9" max="10" width="9.140625" style="494"/>
    <col min="11" max="56" width="9.140625" style="776"/>
    <col min="57" max="16384" width="9.140625" style="494"/>
  </cols>
  <sheetData>
    <row r="1" spans="1:56" s="117" customFormat="1" ht="99" customHeight="1" x14ac:dyDescent="0.2">
      <c r="B1" s="1002" t="s">
        <v>1272</v>
      </c>
      <c r="C1" s="1002"/>
      <c r="D1" s="1002"/>
      <c r="E1" s="1002"/>
      <c r="F1" s="1002"/>
      <c r="G1" s="1002"/>
      <c r="H1" s="385" t="s">
        <v>1309</v>
      </c>
    </row>
    <row r="2" spans="1:56" s="107" customFormat="1" ht="15.75" customHeight="1" x14ac:dyDescent="0.25">
      <c r="A2" s="1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766"/>
      <c r="X2" s="766"/>
      <c r="Y2" s="766"/>
      <c r="Z2" s="766"/>
      <c r="AA2" s="766"/>
      <c r="AB2" s="766"/>
      <c r="AC2" s="766"/>
      <c r="AD2" s="766"/>
      <c r="AE2" s="766"/>
      <c r="AF2" s="766"/>
      <c r="AG2" s="766"/>
      <c r="AH2" s="766"/>
      <c r="AI2" s="766"/>
      <c r="AJ2" s="766"/>
      <c r="AK2" s="766"/>
      <c r="AL2" s="766"/>
      <c r="AM2" s="766"/>
      <c r="AN2" s="766"/>
      <c r="AO2" s="766"/>
      <c r="AP2" s="766"/>
      <c r="AQ2" s="766"/>
      <c r="AR2" s="766"/>
      <c r="AS2" s="766"/>
      <c r="AT2" s="766"/>
      <c r="AU2" s="766"/>
      <c r="AV2" s="766"/>
      <c r="AW2" s="766"/>
      <c r="AX2" s="766"/>
      <c r="AY2" s="766"/>
      <c r="AZ2" s="766"/>
      <c r="BA2" s="766"/>
      <c r="BB2" s="766"/>
      <c r="BC2" s="766"/>
      <c r="BD2" s="766"/>
    </row>
    <row r="3" spans="1:56" s="107" customFormat="1" ht="24.75" customHeight="1" x14ac:dyDescent="0.25">
      <c r="A3" s="119" t="s">
        <v>0</v>
      </c>
      <c r="C3" s="921"/>
      <c r="D3" s="921"/>
      <c r="F3" s="1008" t="s">
        <v>274</v>
      </c>
      <c r="G3" s="1008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766"/>
      <c r="X3" s="766"/>
      <c r="Y3" s="766"/>
      <c r="Z3" s="766"/>
      <c r="AA3" s="766"/>
      <c r="AB3" s="766"/>
      <c r="AC3" s="766"/>
      <c r="AD3" s="766"/>
      <c r="AE3" s="766"/>
      <c r="AF3" s="766"/>
      <c r="AG3" s="766"/>
      <c r="AH3" s="766"/>
      <c r="AI3" s="766"/>
      <c r="AJ3" s="766"/>
      <c r="AK3" s="766"/>
      <c r="AL3" s="766"/>
      <c r="AM3" s="766"/>
      <c r="AN3" s="766"/>
      <c r="AO3" s="766"/>
      <c r="AP3" s="766"/>
      <c r="AQ3" s="766"/>
      <c r="AR3" s="766"/>
      <c r="AS3" s="766"/>
      <c r="AT3" s="766"/>
      <c r="AU3" s="766"/>
      <c r="AV3" s="766"/>
      <c r="AW3" s="766"/>
      <c r="AX3" s="766"/>
      <c r="AY3" s="766"/>
      <c r="AZ3" s="766"/>
      <c r="BA3" s="766"/>
      <c r="BB3" s="766"/>
      <c r="BC3" s="766"/>
      <c r="BD3" s="766"/>
    </row>
    <row r="4" spans="1:56" s="107" customFormat="1" ht="9.75" customHeight="1" x14ac:dyDescent="0.25">
      <c r="A4" s="119"/>
      <c r="C4" s="920" t="s">
        <v>1429</v>
      </c>
      <c r="D4" s="920"/>
      <c r="F4" s="1008"/>
      <c r="G4" s="1008"/>
      <c r="H4" s="416" t="s">
        <v>1431</v>
      </c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A4" s="766"/>
      <c r="AB4" s="766"/>
      <c r="AC4" s="766"/>
      <c r="AD4" s="766"/>
      <c r="AE4" s="766"/>
      <c r="AF4" s="766"/>
      <c r="AG4" s="766"/>
      <c r="AH4" s="766"/>
      <c r="AI4" s="766"/>
      <c r="AJ4" s="766"/>
      <c r="AK4" s="766"/>
      <c r="AL4" s="766"/>
      <c r="AM4" s="766"/>
      <c r="AN4" s="766"/>
      <c r="AO4" s="766"/>
      <c r="AP4" s="766"/>
      <c r="AQ4" s="766"/>
      <c r="AR4" s="766"/>
      <c r="AS4" s="766"/>
      <c r="AT4" s="766"/>
      <c r="AU4" s="766"/>
      <c r="AV4" s="766"/>
      <c r="AW4" s="766"/>
      <c r="AX4" s="766"/>
      <c r="AY4" s="766"/>
      <c r="AZ4" s="766"/>
      <c r="BA4" s="766"/>
      <c r="BB4" s="766"/>
      <c r="BC4" s="766"/>
      <c r="BD4" s="766"/>
    </row>
    <row r="5" spans="1:56" s="107" customFormat="1" ht="28.5" customHeight="1" x14ac:dyDescent="0.25">
      <c r="A5" s="119" t="s">
        <v>1</v>
      </c>
      <c r="C5" s="921"/>
      <c r="D5" s="921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A5" s="766"/>
      <c r="AB5" s="766"/>
      <c r="AC5" s="766"/>
      <c r="AD5" s="766"/>
      <c r="AE5" s="766"/>
      <c r="AF5" s="766"/>
      <c r="AG5" s="766"/>
      <c r="AH5" s="766"/>
      <c r="AI5" s="766"/>
      <c r="AJ5" s="766"/>
      <c r="AK5" s="766"/>
      <c r="AL5" s="766"/>
      <c r="AM5" s="766"/>
      <c r="AN5" s="766"/>
      <c r="AO5" s="766"/>
      <c r="AP5" s="766"/>
      <c r="AQ5" s="766"/>
      <c r="AR5" s="766"/>
      <c r="AS5" s="766"/>
      <c r="AT5" s="766"/>
      <c r="AU5" s="766"/>
      <c r="AV5" s="766"/>
      <c r="AW5" s="766"/>
      <c r="AX5" s="766"/>
      <c r="AY5" s="766"/>
      <c r="AZ5" s="766"/>
      <c r="BA5" s="766"/>
      <c r="BB5" s="766"/>
      <c r="BC5" s="766"/>
      <c r="BD5" s="766"/>
    </row>
    <row r="6" spans="1:56" s="107" customFormat="1" x14ac:dyDescent="0.25">
      <c r="A6" s="493"/>
      <c r="C6" s="913" t="s">
        <v>1430</v>
      </c>
      <c r="D6" s="913"/>
      <c r="K6" s="766"/>
      <c r="L6" s="766"/>
      <c r="M6" s="766"/>
      <c r="N6" s="766"/>
      <c r="O6" s="766"/>
      <c r="P6" s="766"/>
      <c r="Q6" s="766"/>
      <c r="R6" s="766"/>
      <c r="S6" s="766"/>
      <c r="T6" s="766"/>
      <c r="U6" s="766"/>
      <c r="V6" s="766"/>
      <c r="W6" s="766"/>
      <c r="X6" s="766"/>
      <c r="Y6" s="766"/>
      <c r="Z6" s="766"/>
      <c r="AA6" s="766"/>
      <c r="AB6" s="766"/>
      <c r="AC6" s="766"/>
      <c r="AD6" s="766"/>
      <c r="AE6" s="766"/>
      <c r="AF6" s="766"/>
      <c r="AG6" s="766"/>
      <c r="AH6" s="766"/>
      <c r="AI6" s="766"/>
      <c r="AJ6" s="766"/>
      <c r="AK6" s="766"/>
      <c r="AL6" s="766"/>
      <c r="AM6" s="766"/>
      <c r="AN6" s="766"/>
      <c r="AO6" s="766"/>
      <c r="AP6" s="766"/>
      <c r="AQ6" s="766"/>
      <c r="AR6" s="766"/>
      <c r="AS6" s="766"/>
      <c r="AT6" s="766"/>
      <c r="AU6" s="766"/>
      <c r="AV6" s="766"/>
      <c r="AW6" s="766"/>
      <c r="AX6" s="766"/>
      <c r="AY6" s="766"/>
      <c r="AZ6" s="766"/>
      <c r="BA6" s="766"/>
      <c r="BB6" s="766"/>
      <c r="BC6" s="766"/>
      <c r="BD6" s="766"/>
    </row>
    <row r="7" spans="1:56" ht="44.25" customHeight="1" x14ac:dyDescent="0.2">
      <c r="A7" s="1003" t="s">
        <v>1310</v>
      </c>
      <c r="B7" s="1003"/>
      <c r="C7" s="1003"/>
      <c r="D7" s="1003"/>
      <c r="E7" s="1003"/>
      <c r="F7" s="1003"/>
      <c r="G7" s="1003"/>
      <c r="H7" s="1003"/>
    </row>
    <row r="8" spans="1:56" ht="25.5" customHeight="1" x14ac:dyDescent="0.2">
      <c r="A8" s="1004" t="s">
        <v>2</v>
      </c>
      <c r="B8" s="1005" t="s">
        <v>8</v>
      </c>
      <c r="C8" s="1007" t="s">
        <v>4</v>
      </c>
      <c r="D8" s="922" t="s">
        <v>5</v>
      </c>
      <c r="E8" s="922"/>
      <c r="F8" s="922" t="s">
        <v>6</v>
      </c>
      <c r="G8" s="922"/>
      <c r="H8" s="1007" t="s">
        <v>3</v>
      </c>
    </row>
    <row r="9" spans="1:56" ht="30" customHeight="1" x14ac:dyDescent="0.2">
      <c r="A9" s="1004"/>
      <c r="B9" s="1006"/>
      <c r="C9" s="1007"/>
      <c r="D9" s="495" t="s">
        <v>1311</v>
      </c>
      <c r="E9" s="495" t="s">
        <v>1312</v>
      </c>
      <c r="F9" s="495" t="s">
        <v>1311</v>
      </c>
      <c r="G9" s="495" t="s">
        <v>1312</v>
      </c>
      <c r="H9" s="1007"/>
    </row>
    <row r="10" spans="1:56" ht="15" customHeight="1" x14ac:dyDescent="0.2">
      <c r="A10" s="496">
        <v>1</v>
      </c>
      <c r="B10" s="496">
        <v>2</v>
      </c>
      <c r="C10" s="496">
        <v>3</v>
      </c>
      <c r="D10" s="496">
        <v>4</v>
      </c>
      <c r="E10" s="496">
        <v>5</v>
      </c>
      <c r="F10" s="496">
        <v>6</v>
      </c>
      <c r="G10" s="496">
        <v>7</v>
      </c>
      <c r="H10" s="496">
        <v>8</v>
      </c>
    </row>
    <row r="11" spans="1:56" ht="21" customHeight="1" x14ac:dyDescent="0.2">
      <c r="A11" s="497">
        <v>1</v>
      </c>
      <c r="B11" s="498" t="s">
        <v>1313</v>
      </c>
      <c r="C11" s="499" t="s">
        <v>1314</v>
      </c>
      <c r="D11" s="424">
        <f>SUM(D12:D13)</f>
        <v>0</v>
      </c>
      <c r="E11" s="424">
        <f>SUM(E12:E13)</f>
        <v>0</v>
      </c>
      <c r="F11" s="424">
        <f>SUM(F12:F13)</f>
        <v>0</v>
      </c>
      <c r="G11" s="424">
        <f>SUM(G12:G13)</f>
        <v>0</v>
      </c>
      <c r="H11" s="500"/>
    </row>
    <row r="12" spans="1:56" ht="15" x14ac:dyDescent="0.2">
      <c r="A12" s="501">
        <v>1.1000000000000001</v>
      </c>
      <c r="B12" s="502" t="s">
        <v>1315</v>
      </c>
      <c r="C12" s="499" t="s">
        <v>1314</v>
      </c>
      <c r="D12" s="260"/>
      <c r="E12" s="260"/>
      <c r="F12" s="260"/>
      <c r="G12" s="260"/>
      <c r="H12" s="500"/>
    </row>
    <row r="13" spans="1:56" ht="15" x14ac:dyDescent="0.2">
      <c r="A13" s="501">
        <v>1.2</v>
      </c>
      <c r="B13" s="502" t="s">
        <v>1316</v>
      </c>
      <c r="C13" s="499" t="s">
        <v>1314</v>
      </c>
      <c r="D13" s="260"/>
      <c r="E13" s="260"/>
      <c r="F13" s="260"/>
      <c r="G13" s="260"/>
      <c r="H13" s="500"/>
    </row>
    <row r="14" spans="1:56" ht="15" x14ac:dyDescent="0.2">
      <c r="A14" s="497">
        <v>2.1</v>
      </c>
      <c r="B14" s="498" t="s">
        <v>1317</v>
      </c>
      <c r="C14" s="499" t="s">
        <v>1314</v>
      </c>
      <c r="D14" s="260"/>
      <c r="E14" s="260"/>
      <c r="F14" s="260"/>
      <c r="G14" s="260"/>
      <c r="H14" s="500"/>
    </row>
    <row r="15" spans="1:56" ht="15" x14ac:dyDescent="0.2">
      <c r="A15" s="501">
        <v>2.2000000000000002</v>
      </c>
      <c r="B15" s="502" t="s">
        <v>1318</v>
      </c>
      <c r="C15" s="499" t="s">
        <v>1314</v>
      </c>
      <c r="D15" s="260"/>
      <c r="E15" s="260"/>
      <c r="F15" s="260"/>
      <c r="G15" s="260"/>
      <c r="H15" s="500"/>
    </row>
    <row r="16" spans="1:56" ht="15" x14ac:dyDescent="0.2">
      <c r="A16" s="501">
        <v>2.2999999999999998</v>
      </c>
      <c r="B16" s="502" t="s">
        <v>1319</v>
      </c>
      <c r="C16" s="499" t="s">
        <v>1314</v>
      </c>
      <c r="D16" s="260"/>
      <c r="E16" s="260"/>
      <c r="F16" s="260"/>
      <c r="G16" s="260"/>
      <c r="H16" s="500"/>
    </row>
    <row r="17" spans="1:8" ht="15" x14ac:dyDescent="0.2">
      <c r="A17" s="501">
        <v>2.4</v>
      </c>
      <c r="B17" s="502" t="s">
        <v>1320</v>
      </c>
      <c r="C17" s="499" t="s">
        <v>1314</v>
      </c>
      <c r="D17" s="260"/>
      <c r="E17" s="260"/>
      <c r="F17" s="260"/>
      <c r="G17" s="260"/>
      <c r="H17" s="500"/>
    </row>
    <row r="18" spans="1:8" ht="15" x14ac:dyDescent="0.2">
      <c r="A18" s="501">
        <v>2.5</v>
      </c>
      <c r="B18" s="502" t="s">
        <v>1321</v>
      </c>
      <c r="C18" s="499" t="s">
        <v>1314</v>
      </c>
      <c r="D18" s="260"/>
      <c r="E18" s="260"/>
      <c r="F18" s="260"/>
      <c r="G18" s="260"/>
      <c r="H18" s="500"/>
    </row>
    <row r="19" spans="1:8" ht="15" x14ac:dyDescent="0.2">
      <c r="A19" s="501">
        <v>2.6</v>
      </c>
      <c r="B19" s="502" t="s">
        <v>1322</v>
      </c>
      <c r="C19" s="499" t="s">
        <v>1314</v>
      </c>
      <c r="D19" s="260"/>
      <c r="E19" s="260"/>
      <c r="F19" s="260"/>
      <c r="G19" s="260"/>
      <c r="H19" s="500"/>
    </row>
    <row r="20" spans="1:8" ht="15" x14ac:dyDescent="0.2">
      <c r="A20" s="501">
        <v>2.8</v>
      </c>
      <c r="B20" s="502" t="s">
        <v>1323</v>
      </c>
      <c r="C20" s="499" t="s">
        <v>1314</v>
      </c>
      <c r="D20" s="260"/>
      <c r="E20" s="260"/>
      <c r="F20" s="260"/>
      <c r="G20" s="260"/>
      <c r="H20" s="500"/>
    </row>
    <row r="21" spans="1:8" ht="28.5" x14ac:dyDescent="0.2">
      <c r="A21" s="501">
        <v>2.9</v>
      </c>
      <c r="B21" s="503" t="s">
        <v>1324</v>
      </c>
      <c r="C21" s="499" t="s">
        <v>1314</v>
      </c>
      <c r="D21" s="260"/>
      <c r="E21" s="260"/>
      <c r="F21" s="260"/>
      <c r="G21" s="260"/>
      <c r="H21" s="500"/>
    </row>
    <row r="22" spans="1:8" ht="15" x14ac:dyDescent="0.2">
      <c r="A22" s="504">
        <v>2.1</v>
      </c>
      <c r="B22" s="503" t="s">
        <v>1325</v>
      </c>
      <c r="C22" s="499" t="s">
        <v>1314</v>
      </c>
      <c r="D22" s="260"/>
      <c r="E22" s="260"/>
      <c r="F22" s="260"/>
      <c r="G22" s="260"/>
      <c r="H22" s="500"/>
    </row>
    <row r="23" spans="1:8" ht="15" x14ac:dyDescent="0.2">
      <c r="A23" s="497">
        <v>3</v>
      </c>
      <c r="B23" s="498" t="s">
        <v>1326</v>
      </c>
      <c r="C23" s="499" t="s">
        <v>1314</v>
      </c>
      <c r="D23" s="424">
        <f>SUM(D24:D25)</f>
        <v>0</v>
      </c>
      <c r="E23" s="424">
        <f>SUM(E24:E25)</f>
        <v>0</v>
      </c>
      <c r="F23" s="424">
        <f>SUM(F24:F25)</f>
        <v>0</v>
      </c>
      <c r="G23" s="424">
        <f>SUM(G24:G25)</f>
        <v>0</v>
      </c>
      <c r="H23" s="500"/>
    </row>
    <row r="24" spans="1:8" ht="15" x14ac:dyDescent="0.2">
      <c r="A24" s="501">
        <v>3.1</v>
      </c>
      <c r="B24" s="502" t="s">
        <v>1317</v>
      </c>
      <c r="C24" s="499" t="s">
        <v>1314</v>
      </c>
      <c r="D24" s="260"/>
      <c r="E24" s="260"/>
      <c r="F24" s="260"/>
      <c r="G24" s="260"/>
      <c r="H24" s="500"/>
    </row>
    <row r="25" spans="1:8" ht="15" x14ac:dyDescent="0.2">
      <c r="A25" s="501">
        <v>3.2</v>
      </c>
      <c r="B25" s="502" t="s">
        <v>9</v>
      </c>
      <c r="C25" s="499" t="s">
        <v>1314</v>
      </c>
      <c r="D25" s="260"/>
      <c r="E25" s="260"/>
      <c r="F25" s="260"/>
      <c r="G25" s="260"/>
      <c r="H25" s="500"/>
    </row>
    <row r="26" spans="1:8" ht="15" x14ac:dyDescent="0.2">
      <c r="A26" s="497">
        <v>4</v>
      </c>
      <c r="B26" s="498" t="s">
        <v>1327</v>
      </c>
      <c r="C26" s="499" t="s">
        <v>1314</v>
      </c>
      <c r="D26" s="424">
        <f>SUM(D27:D28)</f>
        <v>0</v>
      </c>
      <c r="E26" s="424">
        <f>SUM(E27:E28)</f>
        <v>0</v>
      </c>
      <c r="F26" s="424">
        <f>SUM(F27:F28)</f>
        <v>0</v>
      </c>
      <c r="G26" s="424">
        <f>SUM(G27:G28)</f>
        <v>0</v>
      </c>
      <c r="H26" s="500"/>
    </row>
    <row r="27" spans="1:8" ht="15" x14ac:dyDescent="0.2">
      <c r="A27" s="501">
        <v>4.0999999999999996</v>
      </c>
      <c r="B27" s="502" t="s">
        <v>1317</v>
      </c>
      <c r="C27" s="499" t="s">
        <v>1314</v>
      </c>
      <c r="D27" s="260"/>
      <c r="E27" s="260"/>
      <c r="F27" s="260"/>
      <c r="G27" s="260"/>
      <c r="H27" s="500"/>
    </row>
    <row r="28" spans="1:8" ht="15" x14ac:dyDescent="0.2">
      <c r="A28" s="501">
        <v>4.2</v>
      </c>
      <c r="B28" s="502" t="s">
        <v>9</v>
      </c>
      <c r="C28" s="499" t="s">
        <v>1314</v>
      </c>
      <c r="D28" s="260"/>
      <c r="E28" s="260"/>
      <c r="F28" s="260"/>
      <c r="G28" s="260"/>
      <c r="H28" s="500"/>
    </row>
    <row r="29" spans="1:8" ht="15" x14ac:dyDescent="0.2">
      <c r="A29" s="497">
        <v>5</v>
      </c>
      <c r="B29" s="498" t="s">
        <v>1328</v>
      </c>
      <c r="C29" s="499" t="s">
        <v>1329</v>
      </c>
      <c r="D29" s="260"/>
      <c r="E29" s="260"/>
      <c r="F29" s="260"/>
      <c r="G29" s="260"/>
      <c r="H29" s="500"/>
    </row>
    <row r="30" spans="1:8" ht="15" x14ac:dyDescent="0.2">
      <c r="A30" s="501">
        <v>5.0999999999999996</v>
      </c>
      <c r="B30" s="505" t="s">
        <v>1330</v>
      </c>
      <c r="C30" s="499" t="s">
        <v>1331</v>
      </c>
      <c r="D30" s="260"/>
      <c r="E30" s="260"/>
      <c r="F30" s="260"/>
      <c r="G30" s="260"/>
      <c r="H30" s="500"/>
    </row>
    <row r="31" spans="1:8" ht="15" x14ac:dyDescent="0.2">
      <c r="A31" s="501">
        <v>5.2</v>
      </c>
      <c r="B31" s="505" t="s">
        <v>1332</v>
      </c>
      <c r="C31" s="499" t="s">
        <v>1331</v>
      </c>
      <c r="D31" s="260"/>
      <c r="E31" s="260"/>
      <c r="F31" s="260"/>
      <c r="G31" s="260"/>
      <c r="H31" s="500"/>
    </row>
    <row r="32" spans="1:8" ht="15" x14ac:dyDescent="0.2">
      <c r="A32" s="501">
        <v>5.3</v>
      </c>
      <c r="B32" s="505" t="s">
        <v>1333</v>
      </c>
      <c r="C32" s="499" t="s">
        <v>1331</v>
      </c>
      <c r="D32" s="260"/>
      <c r="E32" s="260"/>
      <c r="F32" s="260"/>
      <c r="G32" s="260"/>
      <c r="H32" s="500"/>
    </row>
    <row r="33" spans="1:8" ht="15" x14ac:dyDescent="0.2">
      <c r="A33" s="501">
        <v>5.4</v>
      </c>
      <c r="B33" s="505" t="s">
        <v>1334</v>
      </c>
      <c r="C33" s="499" t="s">
        <v>1331</v>
      </c>
      <c r="D33" s="260"/>
      <c r="E33" s="260"/>
      <c r="F33" s="260"/>
      <c r="G33" s="260"/>
      <c r="H33" s="500"/>
    </row>
    <row r="34" spans="1:8" ht="15" x14ac:dyDescent="0.2">
      <c r="A34" s="501">
        <v>5.5</v>
      </c>
      <c r="B34" s="505" t="s">
        <v>1335</v>
      </c>
      <c r="C34" s="499" t="s">
        <v>1331</v>
      </c>
      <c r="D34" s="260"/>
      <c r="E34" s="260"/>
      <c r="F34" s="260"/>
      <c r="G34" s="260"/>
      <c r="H34" s="500"/>
    </row>
    <row r="35" spans="1:8" ht="15" x14ac:dyDescent="0.2">
      <c r="A35" s="497">
        <v>6</v>
      </c>
      <c r="B35" s="498" t="s">
        <v>1336</v>
      </c>
      <c r="C35" s="506"/>
      <c r="D35" s="507"/>
      <c r="E35" s="507"/>
      <c r="F35" s="507"/>
      <c r="G35" s="507"/>
      <c r="H35" s="500"/>
    </row>
    <row r="36" spans="1:8" ht="15" x14ac:dyDescent="0.2">
      <c r="A36" s="501">
        <v>6.1</v>
      </c>
      <c r="B36" s="505" t="s">
        <v>10</v>
      </c>
      <c r="C36" s="506" t="s">
        <v>1314</v>
      </c>
      <c r="D36" s="260"/>
      <c r="E36" s="260"/>
      <c r="F36" s="260"/>
      <c r="G36" s="260"/>
      <c r="H36" s="500"/>
    </row>
    <row r="37" spans="1:8" ht="15" x14ac:dyDescent="0.2">
      <c r="A37" s="501">
        <v>6.2</v>
      </c>
      <c r="B37" s="505" t="s">
        <v>1337</v>
      </c>
      <c r="C37" s="506" t="s">
        <v>1314</v>
      </c>
      <c r="D37" s="260"/>
      <c r="E37" s="260"/>
      <c r="F37" s="260"/>
      <c r="G37" s="260"/>
      <c r="H37" s="500"/>
    </row>
    <row r="38" spans="1:8" ht="15" x14ac:dyDescent="0.2">
      <c r="A38" s="497">
        <v>7</v>
      </c>
      <c r="B38" s="498" t="s">
        <v>1338</v>
      </c>
      <c r="C38" s="506" t="s">
        <v>1314</v>
      </c>
      <c r="D38" s="424">
        <f>SUM(D39:D41)</f>
        <v>0</v>
      </c>
      <c r="E38" s="424">
        <f>SUM(E39:E41)</f>
        <v>0</v>
      </c>
      <c r="F38" s="424">
        <f>SUM(F39:F41)</f>
        <v>0</v>
      </c>
      <c r="G38" s="424">
        <f>SUM(G39:G41)</f>
        <v>0</v>
      </c>
      <c r="H38" s="500"/>
    </row>
    <row r="39" spans="1:8" ht="15" x14ac:dyDescent="0.2">
      <c r="A39" s="501">
        <v>7.1</v>
      </c>
      <c r="B39" s="505" t="s">
        <v>1339</v>
      </c>
      <c r="C39" s="506" t="s">
        <v>1314</v>
      </c>
      <c r="D39" s="260"/>
      <c r="E39" s="260"/>
      <c r="F39" s="260"/>
      <c r="G39" s="260"/>
      <c r="H39" s="500"/>
    </row>
    <row r="40" spans="1:8" ht="15" x14ac:dyDescent="0.2">
      <c r="A40" s="501">
        <v>7.2</v>
      </c>
      <c r="B40" s="505" t="s">
        <v>1340</v>
      </c>
      <c r="C40" s="506" t="s">
        <v>1314</v>
      </c>
      <c r="D40" s="260"/>
      <c r="E40" s="260"/>
      <c r="F40" s="260"/>
      <c r="G40" s="260"/>
      <c r="H40" s="500"/>
    </row>
    <row r="41" spans="1:8" ht="15" x14ac:dyDescent="0.2">
      <c r="A41" s="501">
        <v>7.3</v>
      </c>
      <c r="B41" s="505" t="s">
        <v>1326</v>
      </c>
      <c r="C41" s="506" t="s">
        <v>1314</v>
      </c>
      <c r="D41" s="260"/>
      <c r="E41" s="260"/>
      <c r="F41" s="260"/>
      <c r="G41" s="260"/>
      <c r="H41" s="500"/>
    </row>
    <row r="42" spans="1:8" ht="30" x14ac:dyDescent="0.2">
      <c r="A42" s="497">
        <v>8</v>
      </c>
      <c r="B42" s="508" t="s">
        <v>1341</v>
      </c>
      <c r="C42" s="506" t="s">
        <v>1314</v>
      </c>
      <c r="D42" s="424">
        <f>SUM(D43:D45)</f>
        <v>0</v>
      </c>
      <c r="E42" s="424">
        <f>SUM(E43:E45)</f>
        <v>0</v>
      </c>
      <c r="F42" s="424">
        <f>SUM(F43:F45)</f>
        <v>0</v>
      </c>
      <c r="G42" s="424">
        <f>SUM(G43:G45)</f>
        <v>0</v>
      </c>
      <c r="H42" s="500"/>
    </row>
    <row r="43" spans="1:8" ht="15" x14ac:dyDescent="0.2">
      <c r="A43" s="501">
        <v>8.1</v>
      </c>
      <c r="B43" s="505" t="s">
        <v>1339</v>
      </c>
      <c r="C43" s="506" t="s">
        <v>1314</v>
      </c>
      <c r="D43" s="260"/>
      <c r="E43" s="260"/>
      <c r="F43" s="260"/>
      <c r="G43" s="260"/>
      <c r="H43" s="500"/>
    </row>
    <row r="44" spans="1:8" ht="15" x14ac:dyDescent="0.2">
      <c r="A44" s="501">
        <v>8.1999999999999993</v>
      </c>
      <c r="B44" s="505" t="s">
        <v>1340</v>
      </c>
      <c r="C44" s="506" t="s">
        <v>1314</v>
      </c>
      <c r="D44" s="260"/>
      <c r="E44" s="260"/>
      <c r="F44" s="260"/>
      <c r="G44" s="260"/>
      <c r="H44" s="500"/>
    </row>
    <row r="45" spans="1:8" ht="15" x14ac:dyDescent="0.2">
      <c r="A45" s="501">
        <v>8.3000000000000007</v>
      </c>
      <c r="B45" s="505" t="s">
        <v>1326</v>
      </c>
      <c r="C45" s="506" t="s">
        <v>1314</v>
      </c>
      <c r="D45" s="260"/>
      <c r="E45" s="260"/>
      <c r="F45" s="260"/>
      <c r="G45" s="260"/>
      <c r="H45" s="500"/>
    </row>
    <row r="46" spans="1:8" ht="15" x14ac:dyDescent="0.2">
      <c r="A46" s="497">
        <v>9</v>
      </c>
      <c r="B46" s="498" t="s">
        <v>1342</v>
      </c>
      <c r="C46" s="506" t="s">
        <v>1314</v>
      </c>
      <c r="D46" s="424">
        <f>SUM(D47:D52)</f>
        <v>0</v>
      </c>
      <c r="E46" s="424">
        <f>SUM(E47:E52)</f>
        <v>0</v>
      </c>
      <c r="F46" s="424">
        <f>SUM(F47:F52)</f>
        <v>0</v>
      </c>
      <c r="G46" s="424">
        <f>SUM(G47:G52)</f>
        <v>0</v>
      </c>
      <c r="H46" s="500"/>
    </row>
    <row r="47" spans="1:8" ht="15" x14ac:dyDescent="0.2">
      <c r="A47" s="501">
        <v>9.1</v>
      </c>
      <c r="B47" s="505" t="s">
        <v>1343</v>
      </c>
      <c r="C47" s="506" t="s">
        <v>1314</v>
      </c>
      <c r="D47" s="260"/>
      <c r="E47" s="260"/>
      <c r="F47" s="260"/>
      <c r="G47" s="260"/>
      <c r="H47" s="500"/>
    </row>
    <row r="48" spans="1:8" ht="15" x14ac:dyDescent="0.2">
      <c r="A48" s="501">
        <v>9.1999999999999993</v>
      </c>
      <c r="B48" s="505" t="s">
        <v>1344</v>
      </c>
      <c r="C48" s="506" t="s">
        <v>1314</v>
      </c>
      <c r="D48" s="260"/>
      <c r="E48" s="260"/>
      <c r="F48" s="260"/>
      <c r="G48" s="260"/>
      <c r="H48" s="500"/>
    </row>
    <row r="49" spans="1:12" ht="15" x14ac:dyDescent="0.2">
      <c r="A49" s="501">
        <v>9.3000000000000007</v>
      </c>
      <c r="B49" s="505" t="s">
        <v>1345</v>
      </c>
      <c r="C49" s="506" t="s">
        <v>1314</v>
      </c>
      <c r="D49" s="260"/>
      <c r="E49" s="260"/>
      <c r="F49" s="260"/>
      <c r="G49" s="260"/>
      <c r="H49" s="500"/>
    </row>
    <row r="50" spans="1:12" ht="15" x14ac:dyDescent="0.2">
      <c r="A50" s="501">
        <v>9.4</v>
      </c>
      <c r="B50" s="505" t="s">
        <v>1346</v>
      </c>
      <c r="C50" s="506" t="s">
        <v>1314</v>
      </c>
      <c r="D50" s="260"/>
      <c r="E50" s="260"/>
      <c r="F50" s="260"/>
      <c r="G50" s="260"/>
      <c r="H50" s="500"/>
    </row>
    <row r="51" spans="1:12" ht="15" x14ac:dyDescent="0.2">
      <c r="A51" s="501">
        <v>9.5</v>
      </c>
      <c r="B51" s="505" t="s">
        <v>1347</v>
      </c>
      <c r="C51" s="506" t="s">
        <v>1314</v>
      </c>
      <c r="D51" s="260"/>
      <c r="E51" s="260"/>
      <c r="F51" s="260"/>
      <c r="G51" s="260"/>
      <c r="H51" s="500"/>
    </row>
    <row r="52" spans="1:12" ht="15" x14ac:dyDescent="0.2">
      <c r="A52" s="501">
        <v>9.6</v>
      </c>
      <c r="B52" s="505" t="s">
        <v>1348</v>
      </c>
      <c r="C52" s="506" t="s">
        <v>1314</v>
      </c>
      <c r="D52" s="260"/>
      <c r="E52" s="260"/>
      <c r="F52" s="260"/>
      <c r="G52" s="260"/>
      <c r="H52" s="500"/>
    </row>
    <row r="53" spans="1:12" ht="30" x14ac:dyDescent="0.2">
      <c r="A53" s="497">
        <v>10</v>
      </c>
      <c r="B53" s="508" t="s">
        <v>1349</v>
      </c>
      <c r="C53" s="506" t="s">
        <v>1314</v>
      </c>
      <c r="D53" s="260"/>
      <c r="E53" s="260"/>
      <c r="F53" s="260"/>
      <c r="G53" s="260"/>
      <c r="H53" s="500"/>
    </row>
    <row r="54" spans="1:12" ht="36" customHeight="1" x14ac:dyDescent="0.2">
      <c r="A54" s="497">
        <v>11</v>
      </c>
      <c r="B54" s="508" t="s">
        <v>1350</v>
      </c>
      <c r="C54" s="506" t="s">
        <v>1314</v>
      </c>
      <c r="D54" s="260"/>
      <c r="E54" s="260"/>
      <c r="F54" s="260"/>
      <c r="G54" s="260"/>
      <c r="H54" s="500"/>
    </row>
    <row r="55" spans="1:12" ht="15" x14ac:dyDescent="0.2">
      <c r="A55" s="501">
        <v>11.1</v>
      </c>
      <c r="B55" s="509" t="s">
        <v>1351</v>
      </c>
      <c r="C55" s="506" t="s">
        <v>1314</v>
      </c>
      <c r="D55" s="260"/>
      <c r="E55" s="260"/>
      <c r="F55" s="260"/>
      <c r="G55" s="260"/>
      <c r="H55" s="500"/>
    </row>
    <row r="56" spans="1:12" ht="15" x14ac:dyDescent="0.2">
      <c r="A56" s="501">
        <v>11.2</v>
      </c>
      <c r="B56" s="505" t="s">
        <v>1352</v>
      </c>
      <c r="C56" s="506" t="s">
        <v>1314</v>
      </c>
      <c r="D56" s="260"/>
      <c r="E56" s="260"/>
      <c r="F56" s="260"/>
      <c r="G56" s="260"/>
      <c r="H56" s="500"/>
    </row>
    <row r="57" spans="1:12" ht="15" x14ac:dyDescent="0.2">
      <c r="A57" s="497">
        <v>12</v>
      </c>
      <c r="B57" s="498" t="s">
        <v>1353</v>
      </c>
      <c r="C57" s="499" t="s">
        <v>1354</v>
      </c>
      <c r="D57" s="424">
        <f>SUM(D58:D65)</f>
        <v>0</v>
      </c>
      <c r="E57" s="424">
        <f>SUM(E58:E65)</f>
        <v>0</v>
      </c>
      <c r="F57" s="424">
        <f>SUM(F58:F65)</f>
        <v>0</v>
      </c>
      <c r="G57" s="424">
        <f>SUM(G58:G65)</f>
        <v>0</v>
      </c>
      <c r="H57" s="500"/>
    </row>
    <row r="58" spans="1:12" ht="15" x14ac:dyDescent="0.2">
      <c r="A58" s="501">
        <v>12.1</v>
      </c>
      <c r="B58" s="505" t="s">
        <v>1355</v>
      </c>
      <c r="C58" s="499" t="s">
        <v>1354</v>
      </c>
      <c r="D58" s="260"/>
      <c r="E58" s="260"/>
      <c r="F58" s="260"/>
      <c r="G58" s="260"/>
      <c r="H58" s="500"/>
      <c r="L58" s="777"/>
    </row>
    <row r="59" spans="1:12" ht="15" x14ac:dyDescent="0.2">
      <c r="A59" s="501">
        <v>12.2</v>
      </c>
      <c r="B59" s="505" t="s">
        <v>1356</v>
      </c>
      <c r="C59" s="499" t="s">
        <v>1354</v>
      </c>
      <c r="D59" s="260"/>
      <c r="E59" s="260"/>
      <c r="F59" s="260"/>
      <c r="G59" s="260"/>
      <c r="H59" s="500"/>
    </row>
    <row r="60" spans="1:12" ht="31.5" customHeight="1" x14ac:dyDescent="0.2">
      <c r="A60" s="501">
        <v>12.3</v>
      </c>
      <c r="B60" s="509" t="s">
        <v>1357</v>
      </c>
      <c r="C60" s="499" t="s">
        <v>1354</v>
      </c>
      <c r="D60" s="260"/>
      <c r="E60" s="260"/>
      <c r="F60" s="260"/>
      <c r="G60" s="260"/>
      <c r="H60" s="500"/>
    </row>
    <row r="61" spans="1:12" ht="28.5" x14ac:dyDescent="0.2">
      <c r="A61" s="501">
        <v>12.4</v>
      </c>
      <c r="B61" s="509" t="s">
        <v>1358</v>
      </c>
      <c r="C61" s="499" t="s">
        <v>1354</v>
      </c>
      <c r="D61" s="260"/>
      <c r="E61" s="260"/>
      <c r="F61" s="260"/>
      <c r="G61" s="260"/>
      <c r="H61" s="500"/>
    </row>
    <row r="62" spans="1:12" ht="28.5" x14ac:dyDescent="0.2">
      <c r="A62" s="501">
        <v>12.5</v>
      </c>
      <c r="B62" s="509" t="s">
        <v>1359</v>
      </c>
      <c r="C62" s="499" t="s">
        <v>1354</v>
      </c>
      <c r="D62" s="260"/>
      <c r="E62" s="260"/>
      <c r="F62" s="260"/>
      <c r="G62" s="260"/>
      <c r="H62" s="500"/>
    </row>
    <row r="63" spans="1:12" ht="15" x14ac:dyDescent="0.2">
      <c r="A63" s="501">
        <v>12.6</v>
      </c>
      <c r="B63" s="505" t="s">
        <v>1360</v>
      </c>
      <c r="C63" s="499" t="s">
        <v>1354</v>
      </c>
      <c r="D63" s="260"/>
      <c r="E63" s="260"/>
      <c r="F63" s="260"/>
      <c r="G63" s="260"/>
      <c r="H63" s="500"/>
    </row>
    <row r="64" spans="1:12" ht="28.5" x14ac:dyDescent="0.2">
      <c r="A64" s="501">
        <v>12.7</v>
      </c>
      <c r="B64" s="509" t="s">
        <v>1361</v>
      </c>
      <c r="C64" s="499" t="s">
        <v>1354</v>
      </c>
      <c r="D64" s="260"/>
      <c r="E64" s="260"/>
      <c r="F64" s="260"/>
      <c r="G64" s="260"/>
      <c r="H64" s="500"/>
    </row>
    <row r="65" spans="1:9" ht="28.5" x14ac:dyDescent="0.2">
      <c r="A65" s="501">
        <v>12.8</v>
      </c>
      <c r="B65" s="509" t="s">
        <v>1362</v>
      </c>
      <c r="C65" s="499" t="s">
        <v>1354</v>
      </c>
      <c r="D65" s="260"/>
      <c r="E65" s="260"/>
      <c r="F65" s="260"/>
      <c r="G65" s="260"/>
      <c r="H65" s="500"/>
    </row>
    <row r="66" spans="1:9" ht="15" x14ac:dyDescent="0.25">
      <c r="A66" s="510"/>
      <c r="B66" s="510"/>
    </row>
    <row r="67" spans="1:9" ht="15" x14ac:dyDescent="0.25">
      <c r="A67" s="510"/>
      <c r="B67" s="510"/>
    </row>
    <row r="68" spans="1:9" ht="15" x14ac:dyDescent="0.25">
      <c r="A68" s="510"/>
      <c r="B68" s="974" t="s">
        <v>1159</v>
      </c>
      <c r="C68" s="974"/>
      <c r="D68" s="392"/>
      <c r="E68" s="393"/>
      <c r="F68" s="392"/>
      <c r="G68" s="117"/>
      <c r="H68" s="117"/>
      <c r="I68" s="117"/>
    </row>
    <row r="69" spans="1:9" ht="15" x14ac:dyDescent="0.25">
      <c r="A69" s="510"/>
      <c r="B69" s="394"/>
      <c r="C69" s="393"/>
      <c r="D69" s="392"/>
      <c r="E69" s="393"/>
      <c r="F69" s="392"/>
      <c r="G69" s="117"/>
      <c r="H69" s="117"/>
      <c r="I69" s="117"/>
    </row>
    <row r="70" spans="1:9" ht="15" x14ac:dyDescent="0.25">
      <c r="A70" s="510"/>
      <c r="B70" s="807" t="s">
        <v>1160</v>
      </c>
      <c r="C70" s="806"/>
      <c r="D70" s="396"/>
      <c r="E70" s="117"/>
      <c r="F70" s="392" t="s">
        <v>34</v>
      </c>
      <c r="H70" s="494"/>
      <c r="I70" s="392"/>
    </row>
    <row r="71" spans="1:9" ht="15" x14ac:dyDescent="0.25">
      <c r="A71" s="510"/>
      <c r="B71" s="807"/>
      <c r="C71" s="805" t="s">
        <v>1434</v>
      </c>
      <c r="D71" s="805"/>
      <c r="E71" s="117"/>
      <c r="F71" s="392"/>
      <c r="H71" s="494"/>
      <c r="I71" s="392"/>
    </row>
    <row r="72" spans="1:9" ht="15" x14ac:dyDescent="0.25">
      <c r="A72" s="510"/>
      <c r="B72" s="808" t="s">
        <v>1394</v>
      </c>
      <c r="C72" s="806"/>
      <c r="D72" s="396"/>
      <c r="E72" s="117"/>
      <c r="F72" s="392" t="s">
        <v>36</v>
      </c>
      <c r="G72" s="810"/>
      <c r="H72" s="494"/>
      <c r="I72" s="392"/>
    </row>
    <row r="73" spans="1:9" x14ac:dyDescent="0.2">
      <c r="B73" s="809"/>
      <c r="C73" s="117"/>
      <c r="D73" s="117"/>
      <c r="E73" s="117"/>
      <c r="F73" s="117"/>
      <c r="H73" s="494"/>
      <c r="I73" s="117"/>
    </row>
    <row r="84" ht="15" customHeight="1" x14ac:dyDescent="0.2"/>
    <row r="87" ht="15" customHeight="1" x14ac:dyDescent="0.2"/>
    <row r="90" ht="15" customHeight="1" x14ac:dyDescent="0.2"/>
  </sheetData>
  <sheetProtection algorithmName="SHA-512" hashValue="FBycmlr0UTnD8+R74RETly3sc8JwXF6WOQF6u8H8/x8um5HMutuM1YTY74uMB/HZdQaDSgys5vRV7xHH7J5z7w==" saltValue="dsnNTj+pSsAovKSacXTkxA==" spinCount="100000" sheet="1" objects="1" scenarios="1" selectLockedCells="1"/>
  <mergeCells count="15">
    <mergeCell ref="B68:C68"/>
    <mergeCell ref="B1:G1"/>
    <mergeCell ref="A7:H7"/>
    <mergeCell ref="A8:A9"/>
    <mergeCell ref="B8:B9"/>
    <mergeCell ref="C8:C9"/>
    <mergeCell ref="D8:E8"/>
    <mergeCell ref="F8:G8"/>
    <mergeCell ref="H8:H9"/>
    <mergeCell ref="C3:D3"/>
    <mergeCell ref="C4:D4"/>
    <mergeCell ref="C5:D5"/>
    <mergeCell ref="C6:D6"/>
    <mergeCell ref="F3:G3"/>
    <mergeCell ref="F4:G4"/>
  </mergeCells>
  <dataValidations count="1">
    <dataValidation type="decimal" allowBlank="1" showInputMessage="1" showErrorMessage="1" errorTitle="Анхаар" error="Зөвхөн тоо оруулана уу." sqref="D12:G22 D24:G25 D27:G34 D36:G37 D39:G41 D43:G45 D47:G56 D58:G65">
      <formula1>-9.99999999999999E+35</formula1>
      <formula2>9.99999999999999E+36</formula2>
    </dataValidation>
  </dataValidations>
  <pageMargins left="0.71" right="0.43" top="0.18" bottom="0.38" header="0.3" footer="0.3"/>
  <pageSetup paperSize="9" scale="64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H49"/>
  <sheetViews>
    <sheetView showGridLines="0" topLeftCell="A4" zoomScaleNormal="100" workbookViewId="0">
      <selection activeCell="F11" sqref="F11:G11"/>
    </sheetView>
  </sheetViews>
  <sheetFormatPr defaultRowHeight="12.75" x14ac:dyDescent="0.25"/>
  <cols>
    <col min="1" max="1" width="9.140625" style="16"/>
    <col min="2" max="2" width="5.28515625" style="16" customWidth="1"/>
    <col min="3" max="3" width="33.5703125" style="16" customWidth="1"/>
    <col min="4" max="4" width="10.140625" style="16" customWidth="1"/>
    <col min="5" max="5" width="15.28515625" style="16" customWidth="1"/>
    <col min="6" max="6" width="14.5703125" style="16" customWidth="1"/>
    <col min="7" max="7" width="12.85546875" style="16" customWidth="1"/>
    <col min="8" max="16384" width="9.140625" style="16"/>
  </cols>
  <sheetData>
    <row r="1" spans="2:8" s="117" customFormat="1" ht="69.75" customHeight="1" x14ac:dyDescent="0.2">
      <c r="C1" s="1016" t="s">
        <v>1156</v>
      </c>
      <c r="D1" s="1016"/>
      <c r="E1" s="1016"/>
      <c r="F1" s="1016"/>
      <c r="G1" s="385" t="s">
        <v>1363</v>
      </c>
      <c r="H1" s="60"/>
    </row>
    <row r="2" spans="2:8" x14ac:dyDescent="0.25">
      <c r="B2" s="17"/>
      <c r="C2" s="3"/>
      <c r="D2" s="4"/>
      <c r="E2" s="4"/>
      <c r="F2" s="4"/>
      <c r="G2" s="3"/>
    </row>
    <row r="4" spans="2:8" ht="14.25" x14ac:dyDescent="0.25">
      <c r="B4" s="386" t="s">
        <v>1157</v>
      </c>
      <c r="D4" s="916"/>
      <c r="E4" s="916"/>
      <c r="F4" s="3" t="s">
        <v>274</v>
      </c>
      <c r="G4" s="387"/>
    </row>
    <row r="5" spans="2:8" ht="9.75" customHeight="1" x14ac:dyDescent="0.25">
      <c r="B5" s="386"/>
      <c r="D5" s="1019" t="s">
        <v>1430</v>
      </c>
      <c r="E5" s="1019"/>
      <c r="F5" s="3"/>
      <c r="G5" s="695" t="s">
        <v>1431</v>
      </c>
    </row>
    <row r="6" spans="2:8" ht="14.25" x14ac:dyDescent="0.25">
      <c r="B6" s="386" t="s">
        <v>1158</v>
      </c>
      <c r="D6" s="916"/>
      <c r="E6" s="916"/>
      <c r="F6" s="5"/>
      <c r="G6" s="5"/>
    </row>
    <row r="7" spans="2:8" x14ac:dyDescent="0.25">
      <c r="B7" s="5"/>
      <c r="C7" s="5"/>
      <c r="D7" s="1018" t="s">
        <v>1429</v>
      </c>
      <c r="E7" s="1018"/>
      <c r="F7" s="5"/>
      <c r="G7" s="5"/>
    </row>
    <row r="8" spans="2:8" ht="41.25" customHeight="1" x14ac:dyDescent="0.25">
      <c r="B8" s="1017" t="s">
        <v>1364</v>
      </c>
      <c r="C8" s="1017"/>
      <c r="D8" s="1017"/>
      <c r="E8" s="1017"/>
      <c r="F8" s="1017"/>
      <c r="G8" s="1017"/>
      <c r="H8" s="388"/>
    </row>
    <row r="9" spans="2:8" s="120" customFormat="1" ht="30.75" customHeight="1" x14ac:dyDescent="0.2">
      <c r="B9" s="389" t="s">
        <v>2</v>
      </c>
      <c r="C9" s="389" t="s">
        <v>8</v>
      </c>
      <c r="D9" s="389" t="s">
        <v>4</v>
      </c>
      <c r="E9" s="389" t="s">
        <v>1365</v>
      </c>
      <c r="F9" s="1011" t="s">
        <v>3</v>
      </c>
      <c r="G9" s="1013"/>
    </row>
    <row r="10" spans="2:8" s="120" customFormat="1" ht="14.25" customHeight="1" x14ac:dyDescent="0.2">
      <c r="B10" s="390">
        <v>1</v>
      </c>
      <c r="C10" s="390">
        <v>2</v>
      </c>
      <c r="D10" s="390">
        <v>3</v>
      </c>
      <c r="E10" s="390">
        <v>4</v>
      </c>
      <c r="F10" s="949">
        <v>5</v>
      </c>
      <c r="G10" s="951"/>
    </row>
    <row r="11" spans="2:8" s="120" customFormat="1" ht="14.25" x14ac:dyDescent="0.2">
      <c r="B11" s="389">
        <v>1</v>
      </c>
      <c r="C11" s="513" t="s">
        <v>1366</v>
      </c>
      <c r="D11" s="303" t="s">
        <v>1367</v>
      </c>
      <c r="E11" s="389">
        <f>SUM(E12:E13)</f>
        <v>0</v>
      </c>
      <c r="F11" s="1010"/>
      <c r="G11" s="1010"/>
    </row>
    <row r="12" spans="2:8" s="120" customFormat="1" ht="14.25" x14ac:dyDescent="0.2">
      <c r="B12" s="391">
        <v>1.1000000000000001</v>
      </c>
      <c r="C12" s="514" t="s">
        <v>1368</v>
      </c>
      <c r="D12" s="303" t="s">
        <v>1367</v>
      </c>
      <c r="E12" s="304"/>
      <c r="F12" s="1010"/>
      <c r="G12" s="1010"/>
    </row>
    <row r="13" spans="2:8" s="120" customFormat="1" ht="14.25" x14ac:dyDescent="0.2">
      <c r="B13" s="391">
        <v>1.2</v>
      </c>
      <c r="C13" s="514" t="s">
        <v>9</v>
      </c>
      <c r="D13" s="303" t="s">
        <v>1367</v>
      </c>
      <c r="E13" s="304"/>
      <c r="F13" s="1010"/>
      <c r="G13" s="1010"/>
    </row>
    <row r="14" spans="2:8" s="120" customFormat="1" ht="14.25" x14ac:dyDescent="0.2">
      <c r="B14" s="389">
        <v>2</v>
      </c>
      <c r="C14" s="513" t="s">
        <v>1369</v>
      </c>
      <c r="D14" s="303" t="s">
        <v>1367</v>
      </c>
      <c r="E14" s="389">
        <f>SUM(E15:E16)</f>
        <v>0</v>
      </c>
      <c r="F14" s="1010"/>
      <c r="G14" s="1010"/>
    </row>
    <row r="15" spans="2:8" s="120" customFormat="1" ht="14.25" x14ac:dyDescent="0.2">
      <c r="B15" s="391">
        <v>2.1</v>
      </c>
      <c r="C15" s="514" t="s">
        <v>1370</v>
      </c>
      <c r="D15" s="303" t="s">
        <v>1367</v>
      </c>
      <c r="E15" s="304"/>
      <c r="F15" s="1010"/>
      <c r="G15" s="1010"/>
    </row>
    <row r="16" spans="2:8" s="120" customFormat="1" ht="14.25" x14ac:dyDescent="0.2">
      <c r="B16" s="391">
        <v>2.2000000000000002</v>
      </c>
      <c r="C16" s="514" t="s">
        <v>1371</v>
      </c>
      <c r="D16" s="303" t="s">
        <v>1367</v>
      </c>
      <c r="E16" s="304"/>
      <c r="F16" s="1010"/>
      <c r="G16" s="1010"/>
    </row>
    <row r="17" spans="2:7" s="120" customFormat="1" ht="14.25" x14ac:dyDescent="0.2">
      <c r="B17" s="389">
        <v>3</v>
      </c>
      <c r="C17" s="513" t="s">
        <v>1372</v>
      </c>
      <c r="D17" s="303" t="s">
        <v>1367</v>
      </c>
      <c r="E17" s="389">
        <f>SUM(E18:E21)</f>
        <v>0</v>
      </c>
      <c r="F17" s="1010"/>
      <c r="G17" s="1010"/>
    </row>
    <row r="18" spans="2:7" s="120" customFormat="1" ht="14.25" x14ac:dyDescent="0.2">
      <c r="B18" s="391">
        <v>3.1</v>
      </c>
      <c r="C18" s="514" t="s">
        <v>1373</v>
      </c>
      <c r="D18" s="303" t="s">
        <v>1367</v>
      </c>
      <c r="E18" s="304"/>
      <c r="F18" s="1010"/>
      <c r="G18" s="1010"/>
    </row>
    <row r="19" spans="2:7" s="120" customFormat="1" ht="14.25" x14ac:dyDescent="0.2">
      <c r="B19" s="391">
        <v>3.2</v>
      </c>
      <c r="C19" s="514" t="s">
        <v>1374</v>
      </c>
      <c r="D19" s="303" t="s">
        <v>1367</v>
      </c>
      <c r="E19" s="304"/>
      <c r="F19" s="1010"/>
      <c r="G19" s="1010"/>
    </row>
    <row r="20" spans="2:7" s="120" customFormat="1" ht="14.25" x14ac:dyDescent="0.2">
      <c r="B20" s="391">
        <v>3.3</v>
      </c>
      <c r="C20" s="514" t="s">
        <v>1375</v>
      </c>
      <c r="D20" s="303" t="s">
        <v>1367</v>
      </c>
      <c r="E20" s="304"/>
      <c r="F20" s="1010"/>
      <c r="G20" s="1010"/>
    </row>
    <row r="21" spans="2:7" s="120" customFormat="1" ht="14.25" x14ac:dyDescent="0.2">
      <c r="B21" s="391">
        <v>3.4</v>
      </c>
      <c r="C21" s="514" t="s">
        <v>1376</v>
      </c>
      <c r="D21" s="303" t="s">
        <v>1367</v>
      </c>
      <c r="E21" s="304"/>
      <c r="F21" s="1010"/>
      <c r="G21" s="1010"/>
    </row>
    <row r="22" spans="2:7" s="120" customFormat="1" ht="14.25" x14ac:dyDescent="0.2">
      <c r="B22" s="389">
        <v>4</v>
      </c>
      <c r="C22" s="515" t="s">
        <v>1377</v>
      </c>
      <c r="D22" s="303" t="s">
        <v>1367</v>
      </c>
      <c r="E22" s="389">
        <f>SUM(E23:E25)</f>
        <v>0</v>
      </c>
      <c r="F22" s="1014"/>
      <c r="G22" s="1015"/>
    </row>
    <row r="23" spans="2:7" s="120" customFormat="1" ht="14.25" x14ac:dyDescent="0.2">
      <c r="B23" s="391">
        <v>4.0999999999999996</v>
      </c>
      <c r="C23" s="514" t="s">
        <v>1378</v>
      </c>
      <c r="D23" s="303" t="s">
        <v>1367</v>
      </c>
      <c r="E23" s="304"/>
      <c r="F23" s="1010"/>
      <c r="G23" s="1010"/>
    </row>
    <row r="24" spans="2:7" s="120" customFormat="1" ht="14.25" x14ac:dyDescent="0.2">
      <c r="B24" s="391">
        <v>4.2</v>
      </c>
      <c r="C24" s="514" t="s">
        <v>1379</v>
      </c>
      <c r="D24" s="303" t="s">
        <v>1367</v>
      </c>
      <c r="E24" s="304"/>
      <c r="F24" s="1010"/>
      <c r="G24" s="1010"/>
    </row>
    <row r="25" spans="2:7" s="120" customFormat="1" ht="14.25" x14ac:dyDescent="0.2">
      <c r="B25" s="391">
        <v>4.3</v>
      </c>
      <c r="C25" s="514" t="s">
        <v>1380</v>
      </c>
      <c r="D25" s="303" t="s">
        <v>1367</v>
      </c>
      <c r="E25" s="304"/>
      <c r="F25" s="1010"/>
      <c r="G25" s="1010"/>
    </row>
    <row r="26" spans="2:7" s="120" customFormat="1" ht="14.25" x14ac:dyDescent="0.2">
      <c r="B26" s="389">
        <v>5</v>
      </c>
      <c r="C26" s="516" t="s">
        <v>1381</v>
      </c>
      <c r="D26" s="517"/>
      <c r="E26" s="517"/>
      <c r="F26" s="518"/>
      <c r="G26" s="519"/>
    </row>
    <row r="27" spans="2:7" s="120" customFormat="1" ht="14.25" x14ac:dyDescent="0.2">
      <c r="B27" s="391">
        <v>5.0999999999999996</v>
      </c>
      <c r="C27" s="514" t="s">
        <v>1382</v>
      </c>
      <c r="D27" s="303" t="s">
        <v>1367</v>
      </c>
      <c r="E27" s="304"/>
      <c r="F27" s="1010"/>
      <c r="G27" s="1010"/>
    </row>
    <row r="28" spans="2:7" s="120" customFormat="1" ht="14.25" x14ac:dyDescent="0.2">
      <c r="B28" s="391">
        <v>5.2</v>
      </c>
      <c r="C28" s="514" t="s">
        <v>1383</v>
      </c>
      <c r="D28" s="303" t="s">
        <v>1367</v>
      </c>
      <c r="E28" s="304"/>
      <c r="F28" s="1010"/>
      <c r="G28" s="1010"/>
    </row>
    <row r="29" spans="2:7" s="120" customFormat="1" ht="14.25" x14ac:dyDescent="0.2">
      <c r="B29" s="391">
        <v>5.3</v>
      </c>
      <c r="C29" s="514" t="s">
        <v>1384</v>
      </c>
      <c r="D29" s="303" t="s">
        <v>1367</v>
      </c>
      <c r="E29" s="304"/>
      <c r="F29" s="1010"/>
      <c r="G29" s="1010"/>
    </row>
    <row r="30" spans="2:7" s="120" customFormat="1" ht="14.25" x14ac:dyDescent="0.2">
      <c r="B30" s="389">
        <v>6</v>
      </c>
      <c r="C30" s="515" t="s">
        <v>1385</v>
      </c>
      <c r="D30" s="517"/>
      <c r="E30" s="517"/>
      <c r="F30" s="518"/>
      <c r="G30" s="519"/>
    </row>
    <row r="31" spans="2:7" s="120" customFormat="1" ht="14.25" x14ac:dyDescent="0.2">
      <c r="B31" s="391">
        <v>6.1</v>
      </c>
      <c r="C31" s="514" t="s">
        <v>1386</v>
      </c>
      <c r="D31" s="303" t="s">
        <v>1367</v>
      </c>
      <c r="E31" s="304"/>
      <c r="F31" s="1010"/>
      <c r="G31" s="1010"/>
    </row>
    <row r="32" spans="2:7" s="120" customFormat="1" ht="14.25" x14ac:dyDescent="0.2">
      <c r="B32" s="391">
        <v>6.2</v>
      </c>
      <c r="C32" s="514" t="s">
        <v>1318</v>
      </c>
      <c r="D32" s="303" t="s">
        <v>1367</v>
      </c>
      <c r="E32" s="304"/>
      <c r="F32" s="1010"/>
      <c r="G32" s="1010"/>
    </row>
    <row r="33" spans="2:7" s="120" customFormat="1" ht="14.25" x14ac:dyDescent="0.2">
      <c r="B33" s="391">
        <v>6.3</v>
      </c>
      <c r="C33" s="514" t="s">
        <v>1319</v>
      </c>
      <c r="D33" s="303" t="s">
        <v>1367</v>
      </c>
      <c r="E33" s="304"/>
      <c r="F33" s="1010"/>
      <c r="G33" s="1010"/>
    </row>
    <row r="34" spans="2:7" s="120" customFormat="1" ht="14.25" x14ac:dyDescent="0.2">
      <c r="B34" s="391">
        <v>6.4</v>
      </c>
      <c r="C34" s="514" t="s">
        <v>9</v>
      </c>
      <c r="D34" s="303" t="s">
        <v>1367</v>
      </c>
      <c r="E34" s="304"/>
      <c r="F34" s="1010"/>
      <c r="G34" s="1010"/>
    </row>
    <row r="35" spans="2:7" s="120" customFormat="1" ht="25.5" x14ac:dyDescent="0.2">
      <c r="B35" s="389">
        <v>7</v>
      </c>
      <c r="C35" s="513" t="s">
        <v>1387</v>
      </c>
      <c r="D35" s="303" t="s">
        <v>1367</v>
      </c>
      <c r="E35" s="303">
        <f>SUM(E36:E37)</f>
        <v>0</v>
      </c>
      <c r="F35" s="1010"/>
      <c r="G35" s="1010"/>
    </row>
    <row r="36" spans="2:7" s="120" customFormat="1" ht="14.25" x14ac:dyDescent="0.2">
      <c r="B36" s="391">
        <v>7.1</v>
      </c>
      <c r="C36" s="514" t="s">
        <v>1388</v>
      </c>
      <c r="D36" s="303" t="s">
        <v>1367</v>
      </c>
      <c r="E36" s="304"/>
      <c r="F36" s="1010"/>
      <c r="G36" s="1010"/>
    </row>
    <row r="37" spans="2:7" s="120" customFormat="1" ht="14.25" x14ac:dyDescent="0.2">
      <c r="B37" s="391">
        <v>7.2</v>
      </c>
      <c r="C37" s="514" t="s">
        <v>1389</v>
      </c>
      <c r="D37" s="303" t="s">
        <v>1367</v>
      </c>
      <c r="E37" s="304"/>
      <c r="F37" s="1010"/>
      <c r="G37" s="1010"/>
    </row>
    <row r="38" spans="2:7" s="120" customFormat="1" ht="14.25" x14ac:dyDescent="0.2">
      <c r="B38" s="389">
        <v>8</v>
      </c>
      <c r="C38" s="513" t="s">
        <v>1301</v>
      </c>
      <c r="D38" s="303" t="s">
        <v>7</v>
      </c>
      <c r="E38" s="303">
        <f>SUM(E39:E41)</f>
        <v>0</v>
      </c>
      <c r="F38" s="1010"/>
      <c r="G38" s="1010"/>
    </row>
    <row r="39" spans="2:7" s="120" customFormat="1" ht="14.25" x14ac:dyDescent="0.2">
      <c r="B39" s="391">
        <v>8.1</v>
      </c>
      <c r="C39" s="514" t="s">
        <v>1390</v>
      </c>
      <c r="D39" s="303" t="s">
        <v>7</v>
      </c>
      <c r="E39" s="304"/>
      <c r="F39" s="1010"/>
      <c r="G39" s="1010"/>
    </row>
    <row r="40" spans="2:7" s="120" customFormat="1" ht="14.25" x14ac:dyDescent="0.2">
      <c r="B40" s="391">
        <v>8.1999999999999993</v>
      </c>
      <c r="C40" s="514" t="s">
        <v>1391</v>
      </c>
      <c r="D40" s="303" t="s">
        <v>7</v>
      </c>
      <c r="E40" s="304"/>
      <c r="F40" s="1010"/>
      <c r="G40" s="1010"/>
    </row>
    <row r="41" spans="2:7" s="120" customFormat="1" ht="14.25" x14ac:dyDescent="0.2">
      <c r="B41" s="391">
        <v>8.3000000000000007</v>
      </c>
      <c r="C41" s="514" t="s">
        <v>1392</v>
      </c>
      <c r="D41" s="303" t="s">
        <v>7</v>
      </c>
      <c r="E41" s="304"/>
      <c r="F41" s="1010"/>
      <c r="G41" s="1010"/>
    </row>
    <row r="42" spans="2:7" s="120" customFormat="1" ht="38.25" customHeight="1" x14ac:dyDescent="0.2">
      <c r="B42" s="389">
        <v>9</v>
      </c>
      <c r="C42" s="1011" t="s">
        <v>1393</v>
      </c>
      <c r="D42" s="1012"/>
      <c r="E42" s="1013"/>
      <c r="F42" s="1010"/>
      <c r="G42" s="1010"/>
    </row>
    <row r="43" spans="2:7" x14ac:dyDescent="0.25">
      <c r="B43" s="53"/>
      <c r="C43" s="53"/>
      <c r="D43" s="53"/>
      <c r="E43" s="53"/>
      <c r="F43" s="53"/>
      <c r="G43" s="53"/>
    </row>
    <row r="44" spans="2:7" x14ac:dyDescent="0.25">
      <c r="B44" s="974" t="s">
        <v>1159</v>
      </c>
      <c r="C44" s="974"/>
      <c r="D44" s="392"/>
      <c r="E44" s="393"/>
      <c r="F44" s="392" t="s">
        <v>34</v>
      </c>
      <c r="G44" s="393"/>
    </row>
    <row r="45" spans="2:7" x14ac:dyDescent="0.25">
      <c r="B45" s="394"/>
      <c r="C45" s="393"/>
      <c r="D45" s="392"/>
      <c r="E45" s="393"/>
      <c r="F45" s="392"/>
      <c r="G45" s="393"/>
    </row>
    <row r="46" spans="2:7" ht="14.25" x14ac:dyDescent="0.25">
      <c r="B46" s="394"/>
      <c r="C46" s="393" t="s">
        <v>1160</v>
      </c>
      <c r="D46" s="914"/>
      <c r="E46" s="914"/>
      <c r="F46" s="392" t="s">
        <v>36</v>
      </c>
      <c r="G46" s="395"/>
    </row>
    <row r="47" spans="2:7" ht="14.25" x14ac:dyDescent="0.25">
      <c r="B47" s="394"/>
      <c r="C47" s="393"/>
      <c r="D47" s="912" t="s">
        <v>1434</v>
      </c>
      <c r="E47" s="912"/>
      <c r="F47" s="392"/>
      <c r="G47" s="395"/>
    </row>
    <row r="48" spans="2:7" ht="14.25" x14ac:dyDescent="0.25">
      <c r="B48" s="397"/>
      <c r="C48" s="394" t="s">
        <v>1394</v>
      </c>
      <c r="D48" s="914"/>
      <c r="E48" s="914"/>
      <c r="F48" s="392"/>
      <c r="G48" s="393"/>
    </row>
    <row r="49" spans="4:5" x14ac:dyDescent="0.25">
      <c r="D49" s="1009" t="s">
        <v>1439</v>
      </c>
      <c r="E49" s="1009"/>
    </row>
  </sheetData>
  <sheetProtection algorithmName="SHA-512" hashValue="CgHdgiSYtkzM0EQhOUS4MuILeEC1qN2MM0gDiG6Ql7vR2PdCepYuW26rOPzCMA8rjZQ7DhJLe2V2knuGn/6mCA==" saltValue="AgBRnf3TgA+4cn0CTkwJSw==" spinCount="100000" sheet="1" objects="1" scenarios="1" selectLockedCells="1"/>
  <mergeCells count="44">
    <mergeCell ref="F12:G12"/>
    <mergeCell ref="C1:F1"/>
    <mergeCell ref="B8:G8"/>
    <mergeCell ref="F9:G9"/>
    <mergeCell ref="F10:G10"/>
    <mergeCell ref="F11:G11"/>
    <mergeCell ref="D4:E4"/>
    <mergeCell ref="D6:E6"/>
    <mergeCell ref="D7:E7"/>
    <mergeCell ref="D5:E5"/>
    <mergeCell ref="F24:G24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38:G38"/>
    <mergeCell ref="F25:G25"/>
    <mergeCell ref="F27:G27"/>
    <mergeCell ref="F28:G28"/>
    <mergeCell ref="F29:G29"/>
    <mergeCell ref="F31:G31"/>
    <mergeCell ref="F32:G32"/>
    <mergeCell ref="F33:G33"/>
    <mergeCell ref="F34:G34"/>
    <mergeCell ref="F35:G35"/>
    <mergeCell ref="F36:G36"/>
    <mergeCell ref="F37:G37"/>
    <mergeCell ref="D49:E49"/>
    <mergeCell ref="D46:E46"/>
    <mergeCell ref="D48:E48"/>
    <mergeCell ref="F39:G39"/>
    <mergeCell ref="F40:G40"/>
    <mergeCell ref="F41:G41"/>
    <mergeCell ref="C42:E42"/>
    <mergeCell ref="F42:G42"/>
    <mergeCell ref="B44:C44"/>
    <mergeCell ref="D47:E47"/>
  </mergeCells>
  <dataValidations count="1">
    <dataValidation type="decimal" allowBlank="1" showInputMessage="1" showErrorMessage="1" errorTitle="Анхаар" error="Зөвхөн тоо оруулана уу." sqref="G54 E12:E13 E15:E16 E18:E21 E23:E25 E27:E29 E31:E34 E36:E37 E39:E41">
      <formula1>-9.99999999999999E+34</formula1>
      <formula2>9.99999999999999E+35</formula2>
    </dataValidation>
  </dataValidations>
  <pageMargins left="0.54" right="0.25" top="0.75" bottom="0.75" header="0.3" footer="0.3"/>
  <pageSetup paperSize="9" scale="80" fitToWidth="0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50"/>
  <sheetViews>
    <sheetView showGridLines="0" zoomScaleNormal="100" workbookViewId="0">
      <selection activeCell="F12" sqref="F12"/>
    </sheetView>
  </sheetViews>
  <sheetFormatPr defaultColWidth="9.140625" defaultRowHeight="21.75" customHeight="1" x14ac:dyDescent="0.25"/>
  <cols>
    <col min="1" max="1" width="4.28515625" style="5" customWidth="1"/>
    <col min="2" max="2" width="30.5703125" style="5" customWidth="1"/>
    <col min="3" max="3" width="10.85546875" style="14" customWidth="1"/>
    <col min="4" max="4" width="14" style="5" customWidth="1"/>
    <col min="5" max="5" width="14.7109375" style="14" customWidth="1"/>
    <col min="6" max="6" width="19.42578125" style="5" customWidth="1"/>
    <col min="7" max="7" width="6.85546875" style="5" customWidth="1"/>
    <col min="8" max="11" width="9.140625" style="5"/>
    <col min="12" max="54" width="9.140625" style="775"/>
    <col min="55" max="16384" width="9.140625" style="5"/>
  </cols>
  <sheetData>
    <row r="1" spans="1:54" s="52" customFormat="1" ht="80.099999999999994" customHeight="1" x14ac:dyDescent="0.2">
      <c r="B1" s="1016" t="s">
        <v>271</v>
      </c>
      <c r="C1" s="1016"/>
      <c r="D1" s="1016"/>
      <c r="E1" s="1016"/>
      <c r="F1" s="76" t="s">
        <v>1446</v>
      </c>
      <c r="G1" s="46"/>
    </row>
    <row r="2" spans="1:54" s="52" customFormat="1" ht="16.5" customHeight="1" x14ac:dyDescent="0.2">
      <c r="B2" s="105"/>
      <c r="C2" s="105"/>
      <c r="D2" s="105"/>
      <c r="E2" s="105"/>
      <c r="F2" s="76"/>
      <c r="G2" s="60"/>
    </row>
    <row r="3" spans="1:54" s="43" customFormat="1" ht="23.1" customHeight="1" x14ac:dyDescent="0.25">
      <c r="A3" s="2" t="s">
        <v>0</v>
      </c>
      <c r="B3" s="2"/>
      <c r="C3" s="896"/>
      <c r="D3" s="896"/>
      <c r="E3" s="896"/>
      <c r="F3" s="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774"/>
      <c r="X3" s="774"/>
      <c r="Y3" s="774"/>
      <c r="Z3" s="774"/>
      <c r="AA3" s="774"/>
      <c r="AB3" s="774"/>
      <c r="AC3" s="774"/>
      <c r="AD3" s="774"/>
      <c r="AE3" s="774"/>
      <c r="AF3" s="774"/>
      <c r="AG3" s="774"/>
      <c r="AH3" s="774"/>
      <c r="AI3" s="774"/>
      <c r="AJ3" s="774"/>
      <c r="AK3" s="774"/>
      <c r="AL3" s="774"/>
      <c r="AM3" s="774"/>
      <c r="AN3" s="774"/>
      <c r="AO3" s="774"/>
      <c r="AP3" s="774"/>
      <c r="AQ3" s="774"/>
      <c r="AR3" s="774"/>
      <c r="AS3" s="774"/>
      <c r="AT3" s="774"/>
      <c r="AU3" s="774"/>
      <c r="AV3" s="774"/>
      <c r="AW3" s="774"/>
      <c r="AX3" s="774"/>
      <c r="AY3" s="774"/>
      <c r="AZ3" s="774"/>
      <c r="BA3" s="774"/>
      <c r="BB3" s="774"/>
    </row>
    <row r="4" spans="1:54" s="43" customFormat="1" ht="9" customHeight="1" x14ac:dyDescent="0.25">
      <c r="A4" s="2"/>
      <c r="B4" s="2"/>
      <c r="C4" s="846" t="s">
        <v>1429</v>
      </c>
      <c r="D4" s="846"/>
      <c r="E4" s="846"/>
      <c r="F4" s="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4"/>
      <c r="Y4" s="774"/>
      <c r="Z4" s="774"/>
      <c r="AA4" s="774"/>
      <c r="AB4" s="774"/>
      <c r="AC4" s="774"/>
      <c r="AD4" s="774"/>
      <c r="AE4" s="774"/>
      <c r="AF4" s="774"/>
      <c r="AG4" s="774"/>
      <c r="AH4" s="774"/>
      <c r="AI4" s="774"/>
      <c r="AJ4" s="774"/>
      <c r="AK4" s="774"/>
      <c r="AL4" s="774"/>
      <c r="AM4" s="774"/>
      <c r="AN4" s="774"/>
      <c r="AO4" s="774"/>
      <c r="AP4" s="774"/>
      <c r="AQ4" s="774"/>
      <c r="AR4" s="774"/>
      <c r="AS4" s="774"/>
      <c r="AT4" s="774"/>
      <c r="AU4" s="774"/>
      <c r="AV4" s="774"/>
      <c r="AW4" s="774"/>
      <c r="AX4" s="774"/>
      <c r="AY4" s="774"/>
      <c r="AZ4" s="774"/>
      <c r="BA4" s="774"/>
      <c r="BB4" s="774"/>
    </row>
    <row r="5" spans="1:54" s="43" customFormat="1" ht="23.1" customHeight="1" x14ac:dyDescent="0.25">
      <c r="A5" s="2" t="s">
        <v>1</v>
      </c>
      <c r="B5" s="2"/>
      <c r="C5" s="896"/>
      <c r="D5" s="896"/>
      <c r="E5" s="896"/>
      <c r="F5" s="74"/>
      <c r="L5" s="774"/>
      <c r="M5" s="774"/>
      <c r="N5" s="774"/>
      <c r="O5" s="774"/>
      <c r="P5" s="774"/>
      <c r="Q5" s="774"/>
      <c r="R5" s="774"/>
      <c r="S5" s="774"/>
      <c r="T5" s="774"/>
      <c r="U5" s="774"/>
      <c r="V5" s="774"/>
      <c r="W5" s="774"/>
      <c r="X5" s="774"/>
      <c r="Y5" s="774"/>
      <c r="Z5" s="774"/>
      <c r="AA5" s="774"/>
      <c r="AB5" s="774"/>
      <c r="AC5" s="774"/>
      <c r="AD5" s="774"/>
      <c r="AE5" s="774"/>
      <c r="AF5" s="774"/>
      <c r="AG5" s="774"/>
      <c r="AH5" s="774"/>
      <c r="AI5" s="774"/>
      <c r="AJ5" s="774"/>
      <c r="AK5" s="774"/>
      <c r="AL5" s="774"/>
      <c r="AM5" s="774"/>
      <c r="AN5" s="774"/>
      <c r="AO5" s="774"/>
      <c r="AP5" s="774"/>
      <c r="AQ5" s="774"/>
      <c r="AR5" s="774"/>
      <c r="AS5" s="774"/>
      <c r="AT5" s="774"/>
      <c r="AU5" s="774"/>
      <c r="AV5" s="774"/>
      <c r="AW5" s="774"/>
      <c r="AX5" s="774"/>
      <c r="AY5" s="774"/>
      <c r="AZ5" s="774"/>
      <c r="BA5" s="774"/>
      <c r="BB5" s="774"/>
    </row>
    <row r="6" spans="1:54" s="43" customFormat="1" ht="11.25" customHeight="1" x14ac:dyDescent="0.25">
      <c r="A6" s="2"/>
      <c r="B6" s="2"/>
      <c r="C6" s="846" t="s">
        <v>1430</v>
      </c>
      <c r="D6" s="846"/>
      <c r="E6" s="846"/>
      <c r="F6" s="74"/>
      <c r="L6" s="774"/>
      <c r="M6" s="774"/>
      <c r="N6" s="774"/>
      <c r="O6" s="774"/>
      <c r="P6" s="774"/>
      <c r="Q6" s="774"/>
      <c r="R6" s="774"/>
      <c r="S6" s="774"/>
      <c r="T6" s="774"/>
      <c r="U6" s="774"/>
      <c r="V6" s="774"/>
      <c r="W6" s="774"/>
      <c r="X6" s="774"/>
      <c r="Y6" s="774"/>
      <c r="Z6" s="774"/>
      <c r="AA6" s="774"/>
      <c r="AB6" s="774"/>
      <c r="AC6" s="774"/>
      <c r="AD6" s="774"/>
      <c r="AE6" s="774"/>
      <c r="AF6" s="774"/>
      <c r="AG6" s="774"/>
      <c r="AH6" s="774"/>
      <c r="AI6" s="774"/>
      <c r="AJ6" s="774"/>
      <c r="AK6" s="774"/>
      <c r="AL6" s="774"/>
      <c r="AM6" s="774"/>
      <c r="AN6" s="774"/>
      <c r="AO6" s="774"/>
      <c r="AP6" s="774"/>
      <c r="AQ6" s="774"/>
      <c r="AR6" s="774"/>
      <c r="AS6" s="774"/>
      <c r="AT6" s="774"/>
      <c r="AU6" s="774"/>
      <c r="AV6" s="774"/>
      <c r="AW6" s="774"/>
      <c r="AX6" s="774"/>
      <c r="AY6" s="774"/>
      <c r="AZ6" s="774"/>
      <c r="BA6" s="774"/>
      <c r="BB6" s="774"/>
    </row>
    <row r="7" spans="1:54" s="43" customFormat="1" ht="23.1" customHeight="1" x14ac:dyDescent="0.25">
      <c r="A7" s="107" t="s">
        <v>283</v>
      </c>
      <c r="C7" s="896"/>
      <c r="D7" s="896"/>
      <c r="E7" s="896"/>
      <c r="L7" s="774"/>
      <c r="M7" s="774"/>
      <c r="N7" s="774"/>
      <c r="O7" s="774"/>
      <c r="P7" s="774"/>
      <c r="Q7" s="774"/>
      <c r="R7" s="774"/>
      <c r="S7" s="774"/>
      <c r="T7" s="774"/>
      <c r="U7" s="774"/>
      <c r="V7" s="774"/>
      <c r="W7" s="774"/>
      <c r="X7" s="774"/>
      <c r="Y7" s="774"/>
      <c r="Z7" s="774"/>
      <c r="AA7" s="774"/>
      <c r="AB7" s="774"/>
      <c r="AC7" s="774"/>
      <c r="AD7" s="774"/>
      <c r="AE7" s="774"/>
      <c r="AF7" s="774"/>
      <c r="AG7" s="774"/>
      <c r="AH7" s="774"/>
      <c r="AI7" s="774"/>
      <c r="AJ7" s="774"/>
      <c r="AK7" s="774"/>
      <c r="AL7" s="774"/>
      <c r="AM7" s="774"/>
      <c r="AN7" s="774"/>
      <c r="AO7" s="774"/>
      <c r="AP7" s="774"/>
      <c r="AQ7" s="774"/>
      <c r="AR7" s="774"/>
      <c r="AS7" s="774"/>
      <c r="AT7" s="774"/>
      <c r="AU7" s="774"/>
      <c r="AV7" s="774"/>
      <c r="AW7" s="774"/>
      <c r="AX7" s="774"/>
      <c r="AY7" s="774"/>
      <c r="AZ7" s="774"/>
      <c r="BA7" s="774"/>
      <c r="BB7" s="774"/>
    </row>
    <row r="8" spans="1:54" s="43" customFormat="1" ht="9.75" customHeight="1" x14ac:dyDescent="0.25">
      <c r="A8" s="107"/>
      <c r="C8" s="846" t="s">
        <v>1431</v>
      </c>
      <c r="D8" s="846"/>
      <c r="E8" s="846"/>
      <c r="L8" s="774"/>
      <c r="M8" s="774"/>
      <c r="N8" s="774"/>
      <c r="O8" s="774"/>
      <c r="P8" s="774"/>
      <c r="Q8" s="774"/>
      <c r="R8" s="774"/>
      <c r="S8" s="774"/>
      <c r="T8" s="774"/>
      <c r="U8" s="774"/>
      <c r="V8" s="774"/>
      <c r="W8" s="774"/>
      <c r="X8" s="774"/>
      <c r="Y8" s="774"/>
      <c r="Z8" s="774"/>
      <c r="AA8" s="774"/>
      <c r="AB8" s="774"/>
      <c r="AC8" s="774"/>
      <c r="AD8" s="774"/>
      <c r="AE8" s="774"/>
      <c r="AF8" s="774"/>
      <c r="AG8" s="774"/>
      <c r="AH8" s="774"/>
      <c r="AI8" s="774"/>
      <c r="AJ8" s="774"/>
      <c r="AK8" s="774"/>
      <c r="AL8" s="774"/>
      <c r="AM8" s="774"/>
      <c r="AN8" s="774"/>
      <c r="AO8" s="774"/>
      <c r="AP8" s="774"/>
      <c r="AQ8" s="774"/>
      <c r="AR8" s="774"/>
      <c r="AS8" s="774"/>
      <c r="AT8" s="774"/>
      <c r="AU8" s="774"/>
      <c r="AV8" s="774"/>
      <c r="AW8" s="774"/>
      <c r="AX8" s="774"/>
      <c r="AY8" s="774"/>
      <c r="AZ8" s="774"/>
      <c r="BA8" s="774"/>
      <c r="BB8" s="774"/>
    </row>
    <row r="9" spans="1:54" s="43" customFormat="1" ht="15.75" x14ac:dyDescent="0.25">
      <c r="A9" s="64"/>
      <c r="L9" s="774"/>
      <c r="M9" s="774"/>
      <c r="N9" s="774"/>
      <c r="O9" s="774"/>
      <c r="P9" s="774"/>
      <c r="Q9" s="774"/>
      <c r="R9" s="774"/>
      <c r="S9" s="774"/>
      <c r="T9" s="774"/>
      <c r="U9" s="774"/>
      <c r="V9" s="774"/>
      <c r="W9" s="774"/>
      <c r="X9" s="774"/>
      <c r="Y9" s="774"/>
      <c r="Z9" s="774"/>
      <c r="AA9" s="774"/>
      <c r="AB9" s="774"/>
      <c r="AC9" s="774"/>
      <c r="AD9" s="774"/>
      <c r="AE9" s="774"/>
      <c r="AF9" s="774"/>
      <c r="AG9" s="774"/>
      <c r="AH9" s="774"/>
      <c r="AI9" s="774"/>
      <c r="AJ9" s="774"/>
      <c r="AK9" s="774"/>
      <c r="AL9" s="774"/>
      <c r="AM9" s="774"/>
      <c r="AN9" s="774"/>
      <c r="AO9" s="774"/>
      <c r="AP9" s="774"/>
      <c r="AQ9" s="774"/>
      <c r="AR9" s="774"/>
      <c r="AS9" s="774"/>
      <c r="AT9" s="774"/>
      <c r="AU9" s="774"/>
      <c r="AV9" s="774"/>
      <c r="AW9" s="774"/>
      <c r="AX9" s="774"/>
      <c r="AY9" s="774"/>
      <c r="AZ9" s="774"/>
      <c r="BA9" s="774"/>
      <c r="BB9" s="774"/>
    </row>
    <row r="10" spans="1:54" ht="33" customHeight="1" x14ac:dyDescent="0.25">
      <c r="A10" s="1021" t="s">
        <v>11</v>
      </c>
      <c r="B10" s="1021"/>
      <c r="C10" s="1021"/>
      <c r="D10" s="1021"/>
      <c r="E10" s="1021"/>
      <c r="F10" s="1021"/>
    </row>
    <row r="11" spans="1:54" ht="28.5" customHeight="1" x14ac:dyDescent="0.25">
      <c r="A11" s="7" t="s">
        <v>2</v>
      </c>
      <c r="B11" s="49" t="s">
        <v>8</v>
      </c>
      <c r="C11" s="49" t="s">
        <v>4</v>
      </c>
      <c r="D11" s="49" t="s">
        <v>5</v>
      </c>
      <c r="E11" s="49" t="s">
        <v>6</v>
      </c>
      <c r="F11" s="49" t="s">
        <v>3</v>
      </c>
    </row>
    <row r="12" spans="1:54" ht="17.45" customHeight="1" x14ac:dyDescent="0.25">
      <c r="A12" s="8">
        <v>1</v>
      </c>
      <c r="B12" s="8" t="s">
        <v>12</v>
      </c>
      <c r="C12" s="49" t="s">
        <v>7</v>
      </c>
      <c r="D12" s="37">
        <f>SUM(D13,D30)</f>
        <v>0</v>
      </c>
      <c r="E12" s="37">
        <f>SUM(E13,E30)</f>
        <v>0</v>
      </c>
      <c r="F12" s="266"/>
    </row>
    <row r="13" spans="1:54" ht="17.45" customHeight="1" x14ac:dyDescent="0.25">
      <c r="A13" s="8">
        <v>2</v>
      </c>
      <c r="B13" s="8" t="s">
        <v>13</v>
      </c>
      <c r="C13" s="49" t="s">
        <v>7</v>
      </c>
      <c r="D13" s="37">
        <f>SUM(D14:D29)</f>
        <v>0</v>
      </c>
      <c r="E13" s="37">
        <f>SUM(E14:E29)</f>
        <v>0</v>
      </c>
      <c r="F13" s="266"/>
    </row>
    <row r="14" spans="1:54" ht="33.75" customHeight="1" x14ac:dyDescent="0.25">
      <c r="A14" s="7">
        <v>2.1</v>
      </c>
      <c r="B14" s="7" t="s">
        <v>14</v>
      </c>
      <c r="C14" s="49" t="s">
        <v>7</v>
      </c>
      <c r="D14" s="265"/>
      <c r="E14" s="556"/>
      <c r="F14" s="266" t="s">
        <v>156</v>
      </c>
    </row>
    <row r="15" spans="1:54" ht="17.45" customHeight="1" x14ac:dyDescent="0.25">
      <c r="A15" s="7">
        <v>2.2000000000000002</v>
      </c>
      <c r="B15" s="7" t="s">
        <v>157</v>
      </c>
      <c r="C15" s="49" t="s">
        <v>7</v>
      </c>
      <c r="D15" s="265"/>
      <c r="E15" s="556"/>
      <c r="F15" s="266"/>
    </row>
    <row r="16" spans="1:54" ht="17.45" customHeight="1" x14ac:dyDescent="0.25">
      <c r="A16" s="7">
        <v>2.2999999999999998</v>
      </c>
      <c r="B16" s="7" t="s">
        <v>15</v>
      </c>
      <c r="C16" s="49" t="s">
        <v>7</v>
      </c>
      <c r="D16" s="265"/>
      <c r="E16" s="556"/>
      <c r="F16" s="266"/>
    </row>
    <row r="17" spans="1:6" ht="17.45" customHeight="1" x14ac:dyDescent="0.25">
      <c r="A17" s="7">
        <v>2.4</v>
      </c>
      <c r="B17" s="7" t="s">
        <v>16</v>
      </c>
      <c r="C17" s="49" t="s">
        <v>7</v>
      </c>
      <c r="D17" s="265"/>
      <c r="E17" s="556"/>
      <c r="F17" s="266"/>
    </row>
    <row r="18" spans="1:6" ht="17.45" customHeight="1" x14ac:dyDescent="0.25">
      <c r="A18" s="7">
        <v>2.5</v>
      </c>
      <c r="B18" s="7" t="s">
        <v>17</v>
      </c>
      <c r="C18" s="49" t="s">
        <v>7</v>
      </c>
      <c r="D18" s="265"/>
      <c r="E18" s="556"/>
      <c r="F18" s="266"/>
    </row>
    <row r="19" spans="1:6" ht="17.45" customHeight="1" x14ac:dyDescent="0.25">
      <c r="A19" s="7">
        <v>2.6</v>
      </c>
      <c r="B19" s="7" t="s">
        <v>18</v>
      </c>
      <c r="C19" s="49" t="s">
        <v>7</v>
      </c>
      <c r="D19" s="265"/>
      <c r="E19" s="556"/>
      <c r="F19" s="266"/>
    </row>
    <row r="20" spans="1:6" ht="37.5" customHeight="1" x14ac:dyDescent="0.25">
      <c r="A20" s="7">
        <v>2.7</v>
      </c>
      <c r="B20" s="7" t="s">
        <v>19</v>
      </c>
      <c r="C20" s="49" t="s">
        <v>7</v>
      </c>
      <c r="D20" s="265"/>
      <c r="E20" s="556"/>
      <c r="F20" s="266" t="s">
        <v>158</v>
      </c>
    </row>
    <row r="21" spans="1:6" ht="17.45" customHeight="1" x14ac:dyDescent="0.25">
      <c r="A21" s="7">
        <v>2.8</v>
      </c>
      <c r="B21" s="7" t="s">
        <v>20</v>
      </c>
      <c r="C21" s="49" t="s">
        <v>7</v>
      </c>
      <c r="D21" s="265"/>
      <c r="E21" s="556"/>
      <c r="F21" s="266"/>
    </row>
    <row r="22" spans="1:6" ht="24" customHeight="1" x14ac:dyDescent="0.25">
      <c r="A22" s="10">
        <v>2.9</v>
      </c>
      <c r="B22" s="555" t="s">
        <v>159</v>
      </c>
      <c r="C22" s="49" t="s">
        <v>7</v>
      </c>
      <c r="D22" s="265"/>
      <c r="E22" s="556"/>
      <c r="F22" s="266" t="s">
        <v>160</v>
      </c>
    </row>
    <row r="23" spans="1:6" ht="17.45" customHeight="1" x14ac:dyDescent="0.25">
      <c r="A23" s="11">
        <v>2.1</v>
      </c>
      <c r="B23" s="7" t="s">
        <v>21</v>
      </c>
      <c r="C23" s="49" t="s">
        <v>7</v>
      </c>
      <c r="D23" s="265"/>
      <c r="E23" s="556"/>
      <c r="F23" s="266"/>
    </row>
    <row r="24" spans="1:6" ht="17.45" customHeight="1" x14ac:dyDescent="0.25">
      <c r="A24" s="10">
        <v>2.11</v>
      </c>
      <c r="B24" s="10" t="s">
        <v>22</v>
      </c>
      <c r="C24" s="49" t="s">
        <v>7</v>
      </c>
      <c r="D24" s="265"/>
      <c r="E24" s="556"/>
      <c r="F24" s="266"/>
    </row>
    <row r="25" spans="1:6" ht="21" customHeight="1" x14ac:dyDescent="0.25">
      <c r="A25" s="10">
        <v>2.12</v>
      </c>
      <c r="B25" s="10" t="s">
        <v>23</v>
      </c>
      <c r="C25" s="49" t="s">
        <v>7</v>
      </c>
      <c r="D25" s="265"/>
      <c r="E25" s="556"/>
      <c r="F25" s="266"/>
    </row>
    <row r="26" spans="1:6" ht="17.45" customHeight="1" x14ac:dyDescent="0.25">
      <c r="A26" s="10">
        <v>2.13</v>
      </c>
      <c r="B26" s="10" t="s">
        <v>24</v>
      </c>
      <c r="C26" s="49" t="s">
        <v>7</v>
      </c>
      <c r="D26" s="265"/>
      <c r="E26" s="556"/>
      <c r="F26" s="266"/>
    </row>
    <row r="27" spans="1:6" ht="27.75" customHeight="1" x14ac:dyDescent="0.25">
      <c r="A27" s="10">
        <v>2.14</v>
      </c>
      <c r="B27" s="10" t="s">
        <v>25</v>
      </c>
      <c r="C27" s="49" t="s">
        <v>7</v>
      </c>
      <c r="D27" s="557"/>
      <c r="E27" s="556"/>
      <c r="F27" s="266"/>
    </row>
    <row r="28" spans="1:6" ht="51.75" customHeight="1" x14ac:dyDescent="0.25">
      <c r="A28" s="10">
        <v>2.15</v>
      </c>
      <c r="B28" s="12" t="s">
        <v>26</v>
      </c>
      <c r="C28" s="49" t="s">
        <v>7</v>
      </c>
      <c r="D28" s="557"/>
      <c r="E28" s="556"/>
      <c r="F28" s="266" t="s">
        <v>27</v>
      </c>
    </row>
    <row r="29" spans="1:6" ht="17.45" customHeight="1" x14ac:dyDescent="0.25">
      <c r="A29" s="10">
        <v>2.16</v>
      </c>
      <c r="B29" s="7" t="s">
        <v>28</v>
      </c>
      <c r="C29" s="49" t="s">
        <v>7</v>
      </c>
      <c r="D29" s="557"/>
      <c r="E29" s="556"/>
      <c r="F29" s="266"/>
    </row>
    <row r="30" spans="1:6" ht="17.45" customHeight="1" x14ac:dyDescent="0.25">
      <c r="A30" s="8">
        <v>3</v>
      </c>
      <c r="B30" s="8" t="s">
        <v>29</v>
      </c>
      <c r="C30" s="49" t="s">
        <v>7</v>
      </c>
      <c r="D30" s="37">
        <f>SUM(D31:D35)</f>
        <v>0</v>
      </c>
      <c r="E30" s="37">
        <f>SUM(E31:E35)</f>
        <v>0</v>
      </c>
      <c r="F30" s="38"/>
    </row>
    <row r="31" spans="1:6" ht="17.45" customHeight="1" x14ac:dyDescent="0.25">
      <c r="A31" s="10">
        <v>3.1</v>
      </c>
      <c r="B31" s="10" t="s">
        <v>30</v>
      </c>
      <c r="C31" s="49" t="s">
        <v>7</v>
      </c>
      <c r="D31" s="557"/>
      <c r="E31" s="556"/>
      <c r="F31" s="266"/>
    </row>
    <row r="32" spans="1:6" ht="17.45" customHeight="1" x14ac:dyDescent="0.25">
      <c r="A32" s="10">
        <v>3.2</v>
      </c>
      <c r="B32" s="10" t="s">
        <v>31</v>
      </c>
      <c r="C32" s="49" t="s">
        <v>7</v>
      </c>
      <c r="D32" s="557"/>
      <c r="E32" s="556"/>
      <c r="F32" s="266"/>
    </row>
    <row r="33" spans="1:6" ht="17.45" customHeight="1" x14ac:dyDescent="0.25">
      <c r="A33" s="10">
        <v>3.2</v>
      </c>
      <c r="B33" s="10" t="s">
        <v>32</v>
      </c>
      <c r="C33" s="49" t="s">
        <v>7</v>
      </c>
      <c r="D33" s="557"/>
      <c r="E33" s="556"/>
      <c r="F33" s="266"/>
    </row>
    <row r="34" spans="1:6" ht="17.45" customHeight="1" x14ac:dyDescent="0.25">
      <c r="A34" s="10">
        <v>3.4</v>
      </c>
      <c r="B34" s="10" t="s">
        <v>33</v>
      </c>
      <c r="C34" s="49" t="s">
        <v>7</v>
      </c>
      <c r="D34" s="557"/>
      <c r="E34" s="556"/>
      <c r="F34" s="266"/>
    </row>
    <row r="35" spans="1:6" ht="17.45" customHeight="1" x14ac:dyDescent="0.25">
      <c r="A35" s="10">
        <v>3.5</v>
      </c>
      <c r="B35" s="7" t="s">
        <v>9</v>
      </c>
      <c r="C35" s="49" t="s">
        <v>7</v>
      </c>
      <c r="D35" s="557"/>
      <c r="E35" s="556"/>
      <c r="F35" s="266"/>
    </row>
    <row r="36" spans="1:6" ht="11.25" x14ac:dyDescent="0.25">
      <c r="A36" s="903"/>
      <c r="B36" s="903"/>
      <c r="C36" s="4"/>
      <c r="D36" s="3"/>
      <c r="E36" s="4"/>
      <c r="F36" s="3"/>
    </row>
    <row r="37" spans="1:6" ht="11.25" x14ac:dyDescent="0.25">
      <c r="A37" s="1020"/>
      <c r="B37" s="1020"/>
      <c r="C37" s="4"/>
      <c r="D37" s="3"/>
      <c r="E37" s="4"/>
      <c r="F37" s="3"/>
    </row>
    <row r="38" spans="1:6" ht="15" x14ac:dyDescent="0.25">
      <c r="A38" s="48"/>
      <c r="B38" s="68" t="s">
        <v>173</v>
      </c>
      <c r="C38"/>
      <c r="D38" s="69" t="s">
        <v>269</v>
      </c>
      <c r="E38" s="69"/>
      <c r="F38" s="3"/>
    </row>
    <row r="39" spans="1:6" ht="15" x14ac:dyDescent="0.25">
      <c r="A39" s="104"/>
      <c r="B39" s="68"/>
      <c r="C39"/>
      <c r="D39" s="102"/>
      <c r="E39" s="102"/>
      <c r="F39" s="3"/>
    </row>
    <row r="40" spans="1:6" ht="14.25" x14ac:dyDescent="0.2">
      <c r="A40" s="48"/>
      <c r="B40" s="68" t="s">
        <v>35</v>
      </c>
      <c r="C40" s="541"/>
      <c r="D40" s="69" t="s">
        <v>270</v>
      </c>
      <c r="F40" s="541"/>
    </row>
    <row r="41" spans="1:6" ht="11.25" x14ac:dyDescent="0.25">
      <c r="A41" s="13"/>
      <c r="B41" s="48"/>
      <c r="C41" s="710" t="s">
        <v>1440</v>
      </c>
      <c r="D41" s="3"/>
      <c r="E41" s="4"/>
      <c r="F41" s="3"/>
    </row>
    <row r="42" spans="1:6" ht="11.25" x14ac:dyDescent="0.25">
      <c r="A42" s="47"/>
      <c r="B42" s="3"/>
      <c r="C42" s="4"/>
      <c r="D42" s="3"/>
      <c r="E42" s="4"/>
      <c r="F42" s="3"/>
    </row>
    <row r="43" spans="1:6" ht="11.25" x14ac:dyDescent="0.25"/>
    <row r="44" spans="1:6" ht="11.25" x14ac:dyDescent="0.25"/>
    <row r="45" spans="1:6" ht="11.25" x14ac:dyDescent="0.25"/>
    <row r="50" spans="2:2" ht="21.75" customHeight="1" x14ac:dyDescent="0.25">
      <c r="B50" s="15"/>
    </row>
  </sheetData>
  <sheetProtection algorithmName="SHA-512" hashValue="jpXqkv2d4Erm3UvRzzNwfjvUmUvM1qp4hxbsa4Li5clpMA4OFclUs+2PkkSMom1sUz6VF815XZXBc6ZRX5Elcw==" saltValue="UhJsSNM+q2mS5vRdPzPhhA==" spinCount="100000" sheet="1" objects="1" scenarios="1" selectLockedCells="1"/>
  <mergeCells count="10">
    <mergeCell ref="B1:E1"/>
    <mergeCell ref="A37:B37"/>
    <mergeCell ref="A36:B36"/>
    <mergeCell ref="A10:F10"/>
    <mergeCell ref="C3:E3"/>
    <mergeCell ref="C4:E4"/>
    <mergeCell ref="C5:E5"/>
    <mergeCell ref="C6:E6"/>
    <mergeCell ref="C7:E7"/>
    <mergeCell ref="C8:E8"/>
  </mergeCells>
  <dataValidations count="1">
    <dataValidation type="decimal" allowBlank="1" showInputMessage="1" showErrorMessage="1" errorTitle="Анхаар" error="Зөвхөн тоо оруулна уу." sqref="D14:E29 D31:E35">
      <formula1>-9.99999999999999E+35</formula1>
      <formula2>9.99999999999999E+36</formula2>
    </dataValidation>
  </dataValidations>
  <pageMargins left="0.51181102362204722" right="0.39370078740157483" top="0.55118110236220474" bottom="0.55118110236220474" header="0.31496062992125984" footer="0.31496062992125984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3"/>
  <sheetViews>
    <sheetView showGridLines="0" workbookViewId="0">
      <selection activeCell="D14" sqref="D14"/>
    </sheetView>
  </sheetViews>
  <sheetFormatPr defaultColWidth="9.140625" defaultRowHeight="12.75" x14ac:dyDescent="0.25"/>
  <cols>
    <col min="1" max="1" width="4.28515625" style="16" customWidth="1"/>
    <col min="2" max="2" width="33.7109375" style="16" customWidth="1"/>
    <col min="3" max="3" width="10.140625" style="16" customWidth="1"/>
    <col min="4" max="4" width="15.28515625" style="16" customWidth="1"/>
    <col min="5" max="5" width="14.5703125" style="16" customWidth="1"/>
    <col min="6" max="6" width="18.28515625" style="16" customWidth="1"/>
    <col min="7" max="16384" width="9.140625" style="16"/>
  </cols>
  <sheetData>
    <row r="1" spans="1:7" s="52" customFormat="1" ht="69.75" customHeight="1" x14ac:dyDescent="0.2">
      <c r="B1" s="1016" t="s">
        <v>272</v>
      </c>
      <c r="C1" s="1016"/>
      <c r="D1" s="1016"/>
      <c r="E1" s="1016"/>
      <c r="F1" s="77" t="s">
        <v>134</v>
      </c>
      <c r="G1" s="46"/>
    </row>
    <row r="2" spans="1:7" s="43" customFormat="1" ht="23.1" customHeight="1" x14ac:dyDescent="0.25">
      <c r="A2" s="2" t="s">
        <v>0</v>
      </c>
      <c r="B2" s="2"/>
      <c r="C2" s="896"/>
      <c r="D2" s="896"/>
      <c r="E2" s="74"/>
      <c r="F2" s="74"/>
    </row>
    <row r="3" spans="1:7" s="43" customFormat="1" ht="6.75" customHeight="1" x14ac:dyDescent="0.25">
      <c r="A3" s="2"/>
      <c r="B3" s="2"/>
      <c r="C3" s="846" t="s">
        <v>1429</v>
      </c>
      <c r="D3" s="846"/>
      <c r="E3" s="74"/>
      <c r="F3" s="74"/>
    </row>
    <row r="4" spans="1:7" s="43" customFormat="1" ht="23.1" customHeight="1" x14ac:dyDescent="0.25">
      <c r="A4" s="2" t="s">
        <v>1</v>
      </c>
      <c r="B4" s="2"/>
      <c r="C4" s="896"/>
      <c r="D4" s="896"/>
      <c r="E4" s="74"/>
      <c r="F4" s="74"/>
    </row>
    <row r="5" spans="1:7" s="43" customFormat="1" ht="9" customHeight="1" x14ac:dyDescent="0.25">
      <c r="A5" s="2"/>
      <c r="B5" s="2"/>
      <c r="C5" s="846" t="s">
        <v>1430</v>
      </c>
      <c r="D5" s="846"/>
      <c r="E5" s="74"/>
      <c r="F5" s="74"/>
    </row>
    <row r="6" spans="1:7" s="43" customFormat="1" ht="23.1" customHeight="1" x14ac:dyDescent="0.25">
      <c r="A6" s="107" t="s">
        <v>274</v>
      </c>
      <c r="C6" s="896"/>
      <c r="D6" s="896"/>
    </row>
    <row r="7" spans="1:7" s="43" customFormat="1" ht="9.75" customHeight="1" x14ac:dyDescent="0.25">
      <c r="A7" s="107"/>
      <c r="C7" s="846" t="s">
        <v>1431</v>
      </c>
      <c r="D7" s="846"/>
    </row>
    <row r="8" spans="1:7" s="43" customFormat="1" ht="15.75" x14ac:dyDescent="0.25">
      <c r="A8" s="107"/>
      <c r="C8" s="112"/>
      <c r="D8" s="112"/>
    </row>
    <row r="9" spans="1:7" ht="27.6" customHeight="1" x14ac:dyDescent="0.25">
      <c r="A9" s="1017" t="s">
        <v>37</v>
      </c>
      <c r="B9" s="1017"/>
      <c r="C9" s="1017"/>
      <c r="D9" s="1017"/>
      <c r="E9" s="1017"/>
      <c r="F9" s="1017"/>
    </row>
    <row r="10" spans="1:7" ht="28.5" customHeight="1" x14ac:dyDescent="0.25">
      <c r="A10" s="18" t="s">
        <v>2</v>
      </c>
      <c r="B10" s="18" t="s">
        <v>38</v>
      </c>
      <c r="C10" s="49" t="s">
        <v>4</v>
      </c>
      <c r="D10" s="49" t="s">
        <v>5</v>
      </c>
      <c r="E10" s="49" t="s">
        <v>6</v>
      </c>
      <c r="F10" s="49" t="s">
        <v>3</v>
      </c>
    </row>
    <row r="11" spans="1:7" ht="22.5" customHeight="1" x14ac:dyDescent="0.25">
      <c r="A11" s="19">
        <v>1</v>
      </c>
      <c r="B11" s="20" t="s">
        <v>39</v>
      </c>
      <c r="C11" s="49" t="s">
        <v>7</v>
      </c>
      <c r="D11" s="9">
        <f>SUM(D12,D30)</f>
        <v>0</v>
      </c>
      <c r="E11" s="9">
        <f>SUM(E12,E30)</f>
        <v>0</v>
      </c>
      <c r="F11" s="266"/>
    </row>
    <row r="12" spans="1:7" ht="22.5" customHeight="1" x14ac:dyDescent="0.25">
      <c r="A12" s="19">
        <v>2</v>
      </c>
      <c r="B12" s="20" t="s">
        <v>40</v>
      </c>
      <c r="C12" s="49" t="s">
        <v>7</v>
      </c>
      <c r="D12" s="9">
        <f>SUM(D13:D29)</f>
        <v>0</v>
      </c>
      <c r="E12" s="9">
        <f>SUM(E13:E29)</f>
        <v>0</v>
      </c>
      <c r="F12" s="266"/>
    </row>
    <row r="13" spans="1:7" ht="33" customHeight="1" x14ac:dyDescent="0.25">
      <c r="A13" s="21">
        <v>2.1</v>
      </c>
      <c r="B13" s="22" t="s">
        <v>41</v>
      </c>
      <c r="C13" s="49" t="s">
        <v>7</v>
      </c>
      <c r="D13" s="265"/>
      <c r="E13" s="265"/>
      <c r="F13" s="266" t="s">
        <v>161</v>
      </c>
    </row>
    <row r="14" spans="1:7" ht="14.45" customHeight="1" x14ac:dyDescent="0.25">
      <c r="A14" s="21">
        <v>2.2000000000000002</v>
      </c>
      <c r="B14" s="22" t="s">
        <v>42</v>
      </c>
      <c r="C14" s="49" t="s">
        <v>7</v>
      </c>
      <c r="D14" s="265"/>
      <c r="E14" s="265"/>
      <c r="F14" s="266"/>
    </row>
    <row r="15" spans="1:7" ht="14.45" customHeight="1" x14ac:dyDescent="0.25">
      <c r="A15" s="21">
        <v>2.2999999999999998</v>
      </c>
      <c r="B15" s="22" t="s">
        <v>43</v>
      </c>
      <c r="C15" s="49" t="s">
        <v>7</v>
      </c>
      <c r="D15" s="265"/>
      <c r="E15" s="265"/>
      <c r="F15" s="266"/>
    </row>
    <row r="16" spans="1:7" ht="21" customHeight="1" x14ac:dyDescent="0.25">
      <c r="A16" s="21">
        <v>2.4</v>
      </c>
      <c r="B16" s="22" t="s">
        <v>44</v>
      </c>
      <c r="C16" s="49" t="s">
        <v>7</v>
      </c>
      <c r="D16" s="265"/>
      <c r="E16" s="265"/>
      <c r="F16" s="266"/>
    </row>
    <row r="17" spans="1:6" ht="14.45" customHeight="1" x14ac:dyDescent="0.25">
      <c r="A17" s="21">
        <v>2.5</v>
      </c>
      <c r="B17" s="22" t="s">
        <v>45</v>
      </c>
      <c r="C17" s="49" t="s">
        <v>7</v>
      </c>
      <c r="D17" s="265"/>
      <c r="E17" s="265"/>
      <c r="F17" s="266"/>
    </row>
    <row r="18" spans="1:6" ht="14.45" customHeight="1" x14ac:dyDescent="0.25">
      <c r="A18" s="21">
        <v>2.6</v>
      </c>
      <c r="B18" s="22" t="s">
        <v>46</v>
      </c>
      <c r="C18" s="49" t="s">
        <v>7</v>
      </c>
      <c r="D18" s="265"/>
      <c r="E18" s="265"/>
      <c r="F18" s="266"/>
    </row>
    <row r="19" spans="1:6" ht="24" customHeight="1" x14ac:dyDescent="0.25">
      <c r="A19" s="21">
        <v>2.7</v>
      </c>
      <c r="B19" s="22" t="s">
        <v>47</v>
      </c>
      <c r="C19" s="49" t="s">
        <v>7</v>
      </c>
      <c r="D19" s="265"/>
      <c r="E19" s="265"/>
      <c r="F19" s="266"/>
    </row>
    <row r="20" spans="1:6" ht="14.45" customHeight="1" x14ac:dyDescent="0.25">
      <c r="A20" s="21">
        <v>2.8</v>
      </c>
      <c r="B20" s="22" t="s">
        <v>48</v>
      </c>
      <c r="C20" s="49" t="s">
        <v>7</v>
      </c>
      <c r="D20" s="265"/>
      <c r="E20" s="265"/>
      <c r="F20" s="266"/>
    </row>
    <row r="21" spans="1:6" ht="22.5" customHeight="1" x14ac:dyDescent="0.25">
      <c r="A21" s="23">
        <v>2.9</v>
      </c>
      <c r="B21" s="24" t="s">
        <v>49</v>
      </c>
      <c r="C21" s="49" t="s">
        <v>7</v>
      </c>
      <c r="D21" s="265"/>
      <c r="E21" s="265"/>
      <c r="F21" s="266"/>
    </row>
    <row r="22" spans="1:6" ht="22.5" customHeight="1" x14ac:dyDescent="0.25">
      <c r="A22" s="25">
        <v>2.1</v>
      </c>
      <c r="B22" s="24" t="s">
        <v>50</v>
      </c>
      <c r="C22" s="49" t="s">
        <v>7</v>
      </c>
      <c r="D22" s="265"/>
      <c r="E22" s="265"/>
      <c r="F22" s="266"/>
    </row>
    <row r="23" spans="1:6" ht="15.6" customHeight="1" x14ac:dyDescent="0.25">
      <c r="A23" s="25">
        <v>2.11</v>
      </c>
      <c r="B23" s="24" t="s">
        <v>51</v>
      </c>
      <c r="C23" s="49" t="s">
        <v>7</v>
      </c>
      <c r="D23" s="265"/>
      <c r="E23" s="265"/>
      <c r="F23" s="266"/>
    </row>
    <row r="24" spans="1:6" ht="15.6" customHeight="1" x14ac:dyDescent="0.25">
      <c r="A24" s="25">
        <v>2.12</v>
      </c>
      <c r="B24" s="22" t="s">
        <v>52</v>
      </c>
      <c r="C24" s="49" t="s">
        <v>7</v>
      </c>
      <c r="D24" s="265"/>
      <c r="E24" s="265"/>
      <c r="F24" s="266"/>
    </row>
    <row r="25" spans="1:6" ht="15.6" customHeight="1" x14ac:dyDescent="0.25">
      <c r="A25" s="25">
        <v>2.13</v>
      </c>
      <c r="B25" s="22" t="s">
        <v>53</v>
      </c>
      <c r="C25" s="49" t="s">
        <v>7</v>
      </c>
      <c r="D25" s="265"/>
      <c r="E25" s="265"/>
      <c r="F25" s="266"/>
    </row>
    <row r="26" spans="1:6" ht="24.75" customHeight="1" x14ac:dyDescent="0.25">
      <c r="A26" s="25">
        <v>2.14</v>
      </c>
      <c r="B26" s="22" t="s">
        <v>54</v>
      </c>
      <c r="C26" s="49" t="s">
        <v>7</v>
      </c>
      <c r="D26" s="265"/>
      <c r="E26" s="265"/>
      <c r="F26" s="266"/>
    </row>
    <row r="27" spans="1:6" ht="24.75" customHeight="1" x14ac:dyDescent="0.25">
      <c r="A27" s="25">
        <v>2.15</v>
      </c>
      <c r="B27" s="22" t="s">
        <v>55</v>
      </c>
      <c r="C27" s="49" t="s">
        <v>7</v>
      </c>
      <c r="D27" s="265"/>
      <c r="E27" s="265"/>
      <c r="F27" s="266"/>
    </row>
    <row r="28" spans="1:6" ht="22.5" customHeight="1" x14ac:dyDescent="0.25">
      <c r="A28" s="25">
        <v>2.16</v>
      </c>
      <c r="B28" s="22" t="s">
        <v>56</v>
      </c>
      <c r="C28" s="49" t="s">
        <v>7</v>
      </c>
      <c r="D28" s="265"/>
      <c r="E28" s="265"/>
      <c r="F28" s="266"/>
    </row>
    <row r="29" spans="1:6" ht="16.5" customHeight="1" x14ac:dyDescent="0.25">
      <c r="A29" s="25">
        <v>2.17</v>
      </c>
      <c r="B29" s="22" t="s">
        <v>57</v>
      </c>
      <c r="C29" s="49" t="s">
        <v>7</v>
      </c>
      <c r="D29" s="265"/>
      <c r="E29" s="265"/>
      <c r="F29" s="266"/>
    </row>
    <row r="30" spans="1:6" ht="22.5" customHeight="1" x14ac:dyDescent="0.25">
      <c r="A30" s="19">
        <v>3</v>
      </c>
      <c r="B30" s="20" t="s">
        <v>58</v>
      </c>
      <c r="C30" s="49" t="s">
        <v>7</v>
      </c>
      <c r="D30" s="9">
        <f>SUM(D31:D37)</f>
        <v>0</v>
      </c>
      <c r="E30" s="9">
        <f>SUM(E31:E37)</f>
        <v>0</v>
      </c>
      <c r="F30" s="266"/>
    </row>
    <row r="31" spans="1:6" ht="17.100000000000001" customHeight="1" x14ac:dyDescent="0.25">
      <c r="A31" s="23">
        <v>3.1</v>
      </c>
      <c r="B31" s="24" t="s">
        <v>59</v>
      </c>
      <c r="C31" s="49" t="s">
        <v>7</v>
      </c>
      <c r="D31" s="265"/>
      <c r="E31" s="265"/>
      <c r="F31" s="266"/>
    </row>
    <row r="32" spans="1:6" ht="22.5" customHeight="1" x14ac:dyDescent="0.25">
      <c r="A32" s="23">
        <v>3.2</v>
      </c>
      <c r="B32" s="24" t="s">
        <v>60</v>
      </c>
      <c r="C32" s="49" t="s">
        <v>7</v>
      </c>
      <c r="D32" s="265"/>
      <c r="E32" s="265"/>
      <c r="F32" s="266"/>
    </row>
    <row r="33" spans="1:6" ht="12" customHeight="1" x14ac:dyDescent="0.25">
      <c r="A33" s="23">
        <v>3.3</v>
      </c>
      <c r="B33" s="22" t="s">
        <v>61</v>
      </c>
      <c r="C33" s="49" t="s">
        <v>7</v>
      </c>
      <c r="D33" s="265"/>
      <c r="E33" s="265"/>
      <c r="F33" s="266"/>
    </row>
    <row r="34" spans="1:6" ht="12" customHeight="1" x14ac:dyDescent="0.25">
      <c r="A34" s="23">
        <v>3.4</v>
      </c>
      <c r="B34" s="24" t="s">
        <v>62</v>
      </c>
      <c r="C34" s="49" t="s">
        <v>7</v>
      </c>
      <c r="D34" s="265"/>
      <c r="E34" s="265"/>
      <c r="F34" s="266"/>
    </row>
    <row r="35" spans="1:6" ht="22.5" customHeight="1" x14ac:dyDescent="0.25">
      <c r="A35" s="23">
        <v>3.5</v>
      </c>
      <c r="B35" s="22" t="s">
        <v>63</v>
      </c>
      <c r="C35" s="49" t="s">
        <v>7</v>
      </c>
      <c r="D35" s="265"/>
      <c r="E35" s="265"/>
      <c r="F35" s="266"/>
    </row>
    <row r="36" spans="1:6" ht="14.1" customHeight="1" x14ac:dyDescent="0.25">
      <c r="A36" s="23">
        <v>3.6</v>
      </c>
      <c r="B36" s="24" t="s">
        <v>64</v>
      </c>
      <c r="C36" s="49" t="s">
        <v>7</v>
      </c>
      <c r="D36" s="265"/>
      <c r="E36" s="265"/>
      <c r="F36" s="266"/>
    </row>
    <row r="37" spans="1:6" ht="12" customHeight="1" x14ac:dyDescent="0.25">
      <c r="A37" s="26">
        <v>3.7</v>
      </c>
      <c r="B37" s="24" t="s">
        <v>65</v>
      </c>
      <c r="C37" s="49" t="s">
        <v>7</v>
      </c>
      <c r="D37" s="265"/>
      <c r="E37" s="265"/>
      <c r="F37" s="266"/>
    </row>
    <row r="39" spans="1:6" x14ac:dyDescent="0.25">
      <c r="A39" s="1022"/>
      <c r="B39" s="1022"/>
      <c r="C39" s="4"/>
      <c r="D39" s="4"/>
      <c r="E39" s="4"/>
      <c r="F39" s="6"/>
    </row>
    <row r="40" spans="1:6" s="5" customFormat="1" ht="15" x14ac:dyDescent="0.25">
      <c r="A40" s="57"/>
      <c r="B40" s="68" t="s">
        <v>173</v>
      </c>
      <c r="C40"/>
      <c r="D40" s="69" t="s">
        <v>269</v>
      </c>
      <c r="E40" s="69"/>
      <c r="F40" s="3"/>
    </row>
    <row r="41" spans="1:6" s="5" customFormat="1" ht="15" x14ac:dyDescent="0.25">
      <c r="A41" s="104"/>
      <c r="B41" s="68"/>
      <c r="C41"/>
      <c r="D41" s="102"/>
      <c r="E41" s="102"/>
      <c r="F41" s="3"/>
    </row>
    <row r="42" spans="1:6" s="5" customFormat="1" ht="14.25" x14ac:dyDescent="0.2">
      <c r="A42" s="57"/>
      <c r="B42" s="68" t="s">
        <v>35</v>
      </c>
      <c r="C42" s="541"/>
      <c r="D42" s="69" t="s">
        <v>270</v>
      </c>
      <c r="E42" s="14"/>
      <c r="F42" s="541"/>
    </row>
    <row r="43" spans="1:6" x14ac:dyDescent="0.25">
      <c r="A43" s="17"/>
      <c r="B43" s="3"/>
      <c r="C43" s="710" t="s">
        <v>1440</v>
      </c>
      <c r="D43" s="4"/>
      <c r="E43" s="4"/>
      <c r="F43" s="3"/>
    </row>
  </sheetData>
  <sheetProtection algorithmName="SHA-512" hashValue="O2JguKGAz6qJ1Cdzn5D1rFXylzJVqGj8ZpePCGuYpdJiELa1g+kqQvo2XR5OLVD6tC3Fy5avhPN8EOkQ7hbOnA==" saltValue="6h3aBmwRCW/SAAmZiwRG5g==" spinCount="100000" sheet="1" objects="1" scenarios="1" selectLockedCells="1"/>
  <mergeCells count="9">
    <mergeCell ref="A39:B39"/>
    <mergeCell ref="A9:F9"/>
    <mergeCell ref="B1:E1"/>
    <mergeCell ref="C2:D2"/>
    <mergeCell ref="C4:D4"/>
    <mergeCell ref="C6:D6"/>
    <mergeCell ref="C3:D3"/>
    <mergeCell ref="C5:D5"/>
    <mergeCell ref="C7:D7"/>
  </mergeCells>
  <dataValidations count="1">
    <dataValidation type="decimal" allowBlank="1" showInputMessage="1" showErrorMessage="1" errorTitle="Анхаар" error="Зөвхөн тоо оруулна уу." sqref="D13:E29 D31:E37">
      <formula1>-9.99999999999999E+34</formula1>
      <formula2>9.99999999999999E+35</formula2>
    </dataValidation>
  </dataValidations>
  <pageMargins left="0.25" right="0.25" top="0.75" bottom="0.75" header="0.3" footer="0.3"/>
  <pageSetup paperSize="9" fitToWidth="0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02"/>
  <sheetViews>
    <sheetView showGridLines="0" topLeftCell="A19" zoomScale="110" zoomScaleNormal="110" workbookViewId="0">
      <selection activeCell="F42" sqref="F42"/>
    </sheetView>
  </sheetViews>
  <sheetFormatPr defaultColWidth="9.140625" defaultRowHeight="12.75" x14ac:dyDescent="0.25"/>
  <cols>
    <col min="1" max="1" width="4.28515625" style="27" customWidth="1"/>
    <col min="2" max="2" width="4.28515625" style="575" customWidth="1"/>
    <col min="3" max="3" width="4.28515625" style="27" customWidth="1"/>
    <col min="4" max="4" width="33.140625" style="95" customWidth="1"/>
    <col min="5" max="5" width="13.5703125" style="27" customWidth="1"/>
    <col min="6" max="6" width="13.7109375" style="27" customWidth="1"/>
    <col min="7" max="7" width="14.5703125" style="27" customWidth="1"/>
    <col min="8" max="8" width="25.7109375" style="27" customWidth="1"/>
    <col min="9" max="9" width="9.140625" style="27"/>
    <col min="10" max="11" width="9.28515625" style="27" bestFit="1" customWidth="1"/>
    <col min="12" max="12" width="13" style="27" bestFit="1" customWidth="1"/>
    <col min="13" max="16384" width="9.140625" style="27"/>
  </cols>
  <sheetData>
    <row r="1" spans="1:9" s="52" customFormat="1" ht="84.75" customHeight="1" x14ac:dyDescent="0.2">
      <c r="A1" s="117"/>
      <c r="B1" s="385"/>
      <c r="D1" s="1016" t="s">
        <v>272</v>
      </c>
      <c r="E1" s="1016"/>
      <c r="F1" s="1016"/>
      <c r="G1" s="1016"/>
      <c r="H1" s="77" t="s">
        <v>135</v>
      </c>
      <c r="I1" s="58"/>
    </row>
    <row r="2" spans="1:9" s="52" customFormat="1" ht="14.25" customHeight="1" x14ac:dyDescent="0.2">
      <c r="A2" s="117"/>
      <c r="B2" s="385"/>
      <c r="D2" s="105"/>
      <c r="E2" s="105"/>
      <c r="F2" s="105"/>
      <c r="G2" s="105"/>
      <c r="H2" s="77"/>
      <c r="I2" s="60"/>
    </row>
    <row r="3" spans="1:9" s="43" customFormat="1" ht="23.1" customHeight="1" x14ac:dyDescent="0.25">
      <c r="A3" s="559"/>
      <c r="B3" s="574"/>
      <c r="C3" s="2" t="s">
        <v>0</v>
      </c>
      <c r="D3" s="2"/>
      <c r="E3" s="896"/>
      <c r="F3" s="896"/>
      <c r="G3" s="74"/>
      <c r="H3" s="74"/>
    </row>
    <row r="4" spans="1:9" s="43" customFormat="1" ht="12" customHeight="1" x14ac:dyDescent="0.25">
      <c r="A4" s="559"/>
      <c r="B4" s="574"/>
      <c r="C4" s="2"/>
      <c r="D4" s="2"/>
      <c r="E4" s="846" t="s">
        <v>1429</v>
      </c>
      <c r="F4" s="846"/>
      <c r="G4" s="74"/>
      <c r="H4" s="74"/>
    </row>
    <row r="5" spans="1:9" s="43" customFormat="1" ht="23.1" customHeight="1" x14ac:dyDescent="0.25">
      <c r="A5" s="559"/>
      <c r="B5" s="574"/>
      <c r="C5" s="2" t="s">
        <v>1</v>
      </c>
      <c r="D5" s="2"/>
      <c r="E5" s="896"/>
      <c r="F5" s="896"/>
      <c r="G5" s="74"/>
      <c r="H5" s="74"/>
    </row>
    <row r="6" spans="1:9" s="43" customFormat="1" ht="13.5" customHeight="1" x14ac:dyDescent="0.25">
      <c r="A6" s="559"/>
      <c r="B6" s="574"/>
      <c r="C6" s="2"/>
      <c r="D6" s="2"/>
      <c r="E6" s="846" t="s">
        <v>1430</v>
      </c>
      <c r="F6" s="846"/>
      <c r="G6" s="74"/>
      <c r="H6" s="74"/>
    </row>
    <row r="7" spans="1:9" s="43" customFormat="1" ht="23.1" customHeight="1" x14ac:dyDescent="0.25">
      <c r="A7" s="559"/>
      <c r="B7" s="574"/>
      <c r="C7" s="107" t="s">
        <v>274</v>
      </c>
      <c r="D7" s="93"/>
      <c r="E7" s="896"/>
      <c r="F7" s="896"/>
    </row>
    <row r="8" spans="1:9" s="43" customFormat="1" ht="8.25" customHeight="1" x14ac:dyDescent="0.25">
      <c r="A8" s="559"/>
      <c r="B8" s="574"/>
      <c r="C8" s="107"/>
      <c r="D8" s="93"/>
      <c r="E8" s="846" t="s">
        <v>1431</v>
      </c>
      <c r="F8" s="846"/>
    </row>
    <row r="9" spans="1:9" s="43" customFormat="1" ht="12" customHeight="1" x14ac:dyDescent="0.25">
      <c r="A9" s="559"/>
      <c r="B9" s="574"/>
      <c r="C9" s="107"/>
      <c r="D9" s="93"/>
      <c r="E9" s="112"/>
      <c r="F9" s="112"/>
    </row>
    <row r="10" spans="1:9" s="53" customFormat="1" ht="20.25" x14ac:dyDescent="0.25">
      <c r="A10" s="27"/>
      <c r="B10" s="575"/>
      <c r="C10" s="1026" t="s">
        <v>66</v>
      </c>
      <c r="D10" s="1026"/>
      <c r="E10" s="1026"/>
      <c r="F10" s="1026"/>
      <c r="G10" s="1026"/>
      <c r="H10" s="1026"/>
    </row>
    <row r="11" spans="1:9" s="53" customFormat="1" ht="24" x14ac:dyDescent="0.25">
      <c r="A11" s="27"/>
      <c r="B11" s="1027" t="s">
        <v>2</v>
      </c>
      <c r="C11" s="1027"/>
      <c r="D11" s="639" t="s">
        <v>8</v>
      </c>
      <c r="E11" s="83" t="s">
        <v>4</v>
      </c>
      <c r="F11" s="83" t="s">
        <v>5</v>
      </c>
      <c r="G11" s="83" t="s">
        <v>6</v>
      </c>
      <c r="H11" s="83" t="s">
        <v>3</v>
      </c>
    </row>
    <row r="12" spans="1:9" s="53" customFormat="1" ht="15" customHeight="1" x14ac:dyDescent="0.25">
      <c r="A12" s="27"/>
      <c r="B12" s="640">
        <v>1</v>
      </c>
      <c r="C12" s="641"/>
      <c r="D12" s="84" t="s">
        <v>67</v>
      </c>
      <c r="E12" s="83" t="s">
        <v>7</v>
      </c>
      <c r="F12" s="85">
        <f>SUM(F13:F14)</f>
        <v>0</v>
      </c>
      <c r="G12" s="85">
        <f>SUM(G13:G14)</f>
        <v>0</v>
      </c>
      <c r="H12" s="590"/>
    </row>
    <row r="13" spans="1:9" s="53" customFormat="1" ht="15" customHeight="1" x14ac:dyDescent="0.25">
      <c r="A13" s="27"/>
      <c r="B13" s="576"/>
      <c r="C13" s="567">
        <v>1</v>
      </c>
      <c r="D13" s="562" t="s">
        <v>68</v>
      </c>
      <c r="E13" s="83" t="s">
        <v>7</v>
      </c>
      <c r="F13" s="589"/>
      <c r="G13" s="589"/>
      <c r="H13" s="590"/>
    </row>
    <row r="14" spans="1:9" s="53" customFormat="1" ht="15" customHeight="1" x14ac:dyDescent="0.25">
      <c r="A14" s="27"/>
      <c r="B14" s="577"/>
      <c r="C14" s="567">
        <v>2</v>
      </c>
      <c r="D14" s="562" t="s">
        <v>69</v>
      </c>
      <c r="E14" s="83" t="s">
        <v>7</v>
      </c>
      <c r="F14" s="589"/>
      <c r="G14" s="589"/>
      <c r="H14" s="590"/>
    </row>
    <row r="15" spans="1:9" s="53" customFormat="1" ht="30" customHeight="1" x14ac:dyDescent="0.25">
      <c r="A15" s="27"/>
      <c r="B15" s="571">
        <v>2</v>
      </c>
      <c r="C15" s="572"/>
      <c r="D15" s="562" t="s">
        <v>162</v>
      </c>
      <c r="E15" s="83" t="s">
        <v>163</v>
      </c>
      <c r="F15" s="589"/>
      <c r="G15" s="589"/>
      <c r="H15" s="590"/>
    </row>
    <row r="16" spans="1:9" s="53" customFormat="1" ht="15" customHeight="1" x14ac:dyDescent="0.25">
      <c r="A16" s="27"/>
      <c r="B16" s="576"/>
      <c r="C16" s="572">
        <v>1</v>
      </c>
      <c r="D16" s="562" t="s">
        <v>277</v>
      </c>
      <c r="E16" s="83" t="s">
        <v>163</v>
      </c>
      <c r="F16" s="589"/>
      <c r="G16" s="589"/>
      <c r="H16" s="590"/>
    </row>
    <row r="17" spans="1:12" s="53" customFormat="1" ht="30" customHeight="1" x14ac:dyDescent="0.25">
      <c r="A17" s="27"/>
      <c r="B17" s="576"/>
      <c r="C17" s="572">
        <v>2</v>
      </c>
      <c r="D17" s="562" t="s">
        <v>276</v>
      </c>
      <c r="E17" s="83" t="s">
        <v>163</v>
      </c>
      <c r="F17" s="589"/>
      <c r="G17" s="589"/>
      <c r="H17" s="590"/>
    </row>
    <row r="18" spans="1:12" s="53" customFormat="1" ht="30" customHeight="1" x14ac:dyDescent="0.25">
      <c r="A18" s="27"/>
      <c r="B18" s="577"/>
      <c r="C18" s="572">
        <v>3</v>
      </c>
      <c r="D18" s="562" t="s">
        <v>275</v>
      </c>
      <c r="E18" s="83" t="s">
        <v>163</v>
      </c>
      <c r="F18" s="589"/>
      <c r="G18" s="589"/>
      <c r="H18" s="590"/>
    </row>
    <row r="19" spans="1:12" s="53" customFormat="1" ht="15" customHeight="1" x14ac:dyDescent="0.25">
      <c r="A19" s="27"/>
      <c r="B19" s="571">
        <v>3</v>
      </c>
      <c r="C19" s="573"/>
      <c r="D19" s="563" t="s">
        <v>164</v>
      </c>
      <c r="E19" s="86"/>
      <c r="F19" s="589"/>
      <c r="G19" s="589"/>
      <c r="H19" s="590"/>
    </row>
    <row r="20" spans="1:12" s="53" customFormat="1" ht="15" customHeight="1" x14ac:dyDescent="0.25">
      <c r="A20" s="27"/>
      <c r="B20" s="576"/>
      <c r="C20" s="561">
        <v>1</v>
      </c>
      <c r="D20" s="564" t="s">
        <v>165</v>
      </c>
      <c r="E20" s="80" t="s">
        <v>163</v>
      </c>
      <c r="F20" s="591"/>
      <c r="G20" s="589"/>
      <c r="H20" s="590"/>
    </row>
    <row r="21" spans="1:12" s="53" customFormat="1" ht="15" customHeight="1" x14ac:dyDescent="0.25">
      <c r="A21" s="27"/>
      <c r="B21" s="576"/>
      <c r="C21" s="129">
        <v>1.1000000000000001</v>
      </c>
      <c r="D21" s="564" t="s">
        <v>166</v>
      </c>
      <c r="E21" s="80" t="s">
        <v>163</v>
      </c>
      <c r="F21" s="591"/>
      <c r="G21" s="589"/>
      <c r="H21" s="590"/>
    </row>
    <row r="22" spans="1:12" s="53" customFormat="1" ht="15" customHeight="1" x14ac:dyDescent="0.25">
      <c r="A22" s="27"/>
      <c r="B22" s="576"/>
      <c r="C22" s="129">
        <v>1.2</v>
      </c>
      <c r="D22" s="564" t="s">
        <v>167</v>
      </c>
      <c r="E22" s="80" t="s">
        <v>163</v>
      </c>
      <c r="F22" s="591"/>
      <c r="G22" s="589"/>
      <c r="H22" s="590"/>
    </row>
    <row r="23" spans="1:12" s="53" customFormat="1" ht="15" customHeight="1" x14ac:dyDescent="0.25">
      <c r="A23" s="27"/>
      <c r="B23" s="576"/>
      <c r="C23" s="129">
        <v>1.3</v>
      </c>
      <c r="D23" s="564" t="s">
        <v>168</v>
      </c>
      <c r="E23" s="80" t="s">
        <v>163</v>
      </c>
      <c r="F23" s="591"/>
      <c r="G23" s="589"/>
      <c r="H23" s="590"/>
    </row>
    <row r="24" spans="1:12" s="53" customFormat="1" ht="30" customHeight="1" x14ac:dyDescent="0.25">
      <c r="A24" s="27"/>
      <c r="B24" s="576"/>
      <c r="C24" s="129">
        <v>1.4</v>
      </c>
      <c r="D24" s="564" t="s">
        <v>169</v>
      </c>
      <c r="E24" s="80" t="s">
        <v>163</v>
      </c>
      <c r="F24" s="591"/>
      <c r="G24" s="589"/>
      <c r="H24" s="590"/>
    </row>
    <row r="25" spans="1:12" s="53" customFormat="1" ht="15" customHeight="1" x14ac:dyDescent="0.25">
      <c r="A25" s="27"/>
      <c r="B25" s="576"/>
      <c r="C25" s="561">
        <v>2</v>
      </c>
      <c r="D25" s="564" t="s">
        <v>170</v>
      </c>
      <c r="E25" s="80" t="s">
        <v>163</v>
      </c>
      <c r="F25" s="591"/>
      <c r="G25" s="589"/>
      <c r="H25" s="590"/>
    </row>
    <row r="26" spans="1:12" s="53" customFormat="1" ht="15" customHeight="1" x14ac:dyDescent="0.25">
      <c r="A26" s="27"/>
      <c r="B26" s="576"/>
      <c r="C26" s="129">
        <v>2.1</v>
      </c>
      <c r="D26" s="564" t="s">
        <v>166</v>
      </c>
      <c r="E26" s="80" t="s">
        <v>163</v>
      </c>
      <c r="F26" s="591"/>
      <c r="G26" s="589"/>
      <c r="H26" s="590"/>
    </row>
    <row r="27" spans="1:12" s="53" customFormat="1" ht="15" customHeight="1" x14ac:dyDescent="0.25">
      <c r="A27" s="27"/>
      <c r="B27" s="576"/>
      <c r="C27" s="129">
        <v>2.2000000000000002</v>
      </c>
      <c r="D27" s="564" t="s">
        <v>167</v>
      </c>
      <c r="E27" s="80" t="s">
        <v>163</v>
      </c>
      <c r="F27" s="591"/>
      <c r="G27" s="589"/>
      <c r="H27" s="590"/>
    </row>
    <row r="28" spans="1:12" s="53" customFormat="1" ht="15" customHeight="1" x14ac:dyDescent="0.25">
      <c r="A28" s="27"/>
      <c r="B28" s="576"/>
      <c r="C28" s="129">
        <v>2.2999999999999998</v>
      </c>
      <c r="D28" s="564" t="s">
        <v>168</v>
      </c>
      <c r="E28" s="80" t="s">
        <v>163</v>
      </c>
      <c r="F28" s="591"/>
      <c r="G28" s="589"/>
      <c r="H28" s="590"/>
    </row>
    <row r="29" spans="1:12" s="53" customFormat="1" ht="30" customHeight="1" x14ac:dyDescent="0.25">
      <c r="A29" s="27"/>
      <c r="B29" s="577"/>
      <c r="C29" s="129">
        <v>2.4</v>
      </c>
      <c r="D29" s="564" t="s">
        <v>169</v>
      </c>
      <c r="E29" s="80" t="s">
        <v>163</v>
      </c>
      <c r="F29" s="591"/>
      <c r="G29" s="589"/>
      <c r="H29" s="590"/>
    </row>
    <row r="30" spans="1:12" s="53" customFormat="1" ht="30" customHeight="1" x14ac:dyDescent="0.25">
      <c r="A30" s="27"/>
      <c r="B30" s="578">
        <v>4</v>
      </c>
      <c r="C30" s="568"/>
      <c r="D30" s="565" t="s">
        <v>12</v>
      </c>
      <c r="E30" s="87" t="s">
        <v>7</v>
      </c>
      <c r="F30" s="589"/>
      <c r="G30" s="589"/>
      <c r="H30" s="590" t="s">
        <v>171</v>
      </c>
      <c r="L30" s="54"/>
    </row>
    <row r="31" spans="1:12" s="53" customFormat="1" ht="15" customHeight="1" x14ac:dyDescent="0.25">
      <c r="A31" s="27"/>
      <c r="B31" s="578">
        <v>5</v>
      </c>
      <c r="C31" s="568"/>
      <c r="D31" s="565" t="s">
        <v>13</v>
      </c>
      <c r="E31" s="87" t="s">
        <v>7</v>
      </c>
      <c r="F31" s="589"/>
      <c r="G31" s="589"/>
      <c r="H31" s="590"/>
      <c r="L31" s="54"/>
    </row>
    <row r="32" spans="1:12" s="53" customFormat="1" ht="15" customHeight="1" x14ac:dyDescent="0.25">
      <c r="A32" s="27"/>
      <c r="B32" s="578">
        <v>6</v>
      </c>
      <c r="C32" s="568"/>
      <c r="D32" s="562" t="s">
        <v>70</v>
      </c>
      <c r="E32" s="83" t="s">
        <v>7</v>
      </c>
      <c r="F32" s="589"/>
      <c r="G32" s="589"/>
      <c r="H32" s="590"/>
    </row>
    <row r="33" spans="1:12" s="53" customFormat="1" ht="15" customHeight="1" x14ac:dyDescent="0.25">
      <c r="A33" s="27"/>
      <c r="B33" s="578">
        <v>7</v>
      </c>
      <c r="C33" s="568"/>
      <c r="D33" s="562" t="s">
        <v>71</v>
      </c>
      <c r="E33" s="83" t="s">
        <v>7</v>
      </c>
      <c r="F33" s="589"/>
      <c r="G33" s="592"/>
      <c r="H33" s="590"/>
    </row>
    <row r="34" spans="1:12" s="53" customFormat="1" ht="15" customHeight="1" x14ac:dyDescent="0.25">
      <c r="A34" s="27"/>
      <c r="B34" s="578">
        <v>8</v>
      </c>
      <c r="C34" s="568"/>
      <c r="D34" s="562" t="s">
        <v>72</v>
      </c>
      <c r="E34" s="83" t="s">
        <v>7</v>
      </c>
      <c r="F34" s="589"/>
      <c r="G34" s="589"/>
      <c r="H34" s="590"/>
    </row>
    <row r="35" spans="1:12" s="53" customFormat="1" ht="15" customHeight="1" x14ac:dyDescent="0.25">
      <c r="A35" s="27"/>
      <c r="B35" s="578">
        <v>9</v>
      </c>
      <c r="C35" s="568"/>
      <c r="D35" s="562" t="s">
        <v>73</v>
      </c>
      <c r="E35" s="83" t="s">
        <v>7</v>
      </c>
      <c r="F35" s="589"/>
      <c r="G35" s="589"/>
      <c r="H35" s="590"/>
    </row>
    <row r="36" spans="1:12" s="53" customFormat="1" ht="15" customHeight="1" x14ac:dyDescent="0.25">
      <c r="A36" s="27"/>
      <c r="B36" s="578">
        <v>10</v>
      </c>
      <c r="C36" s="568"/>
      <c r="D36" s="566" t="s">
        <v>74</v>
      </c>
      <c r="E36" s="83" t="s">
        <v>7</v>
      </c>
      <c r="F36" s="589"/>
      <c r="G36" s="589"/>
      <c r="H36" s="590"/>
    </row>
    <row r="37" spans="1:12" s="53" customFormat="1" ht="15" customHeight="1" x14ac:dyDescent="0.25">
      <c r="A37" s="27"/>
      <c r="B37" s="578">
        <v>11</v>
      </c>
      <c r="C37" s="568"/>
      <c r="D37" s="566" t="s">
        <v>75</v>
      </c>
      <c r="E37" s="83" t="s">
        <v>7</v>
      </c>
      <c r="F37" s="589"/>
      <c r="G37" s="589"/>
      <c r="H37" s="590"/>
    </row>
    <row r="38" spans="1:12" s="53" customFormat="1" ht="15" customHeight="1" x14ac:dyDescent="0.25">
      <c r="A38" s="27"/>
      <c r="B38" s="578">
        <v>12</v>
      </c>
      <c r="C38" s="569"/>
      <c r="D38" s="566" t="s">
        <v>76</v>
      </c>
      <c r="E38" s="83" t="s">
        <v>7</v>
      </c>
      <c r="F38" s="589"/>
      <c r="G38" s="589"/>
      <c r="H38" s="590"/>
    </row>
    <row r="39" spans="1:12" s="53" customFormat="1" ht="30" customHeight="1" x14ac:dyDescent="0.25">
      <c r="A39" s="27"/>
      <c r="B39" s="571">
        <v>13</v>
      </c>
      <c r="C39" s="585"/>
      <c r="D39" s="638" t="s">
        <v>1428</v>
      </c>
      <c r="E39" s="1023"/>
      <c r="F39" s="1024"/>
      <c r="G39" s="1025"/>
      <c r="H39" s="590"/>
      <c r="J39" s="55"/>
    </row>
    <row r="40" spans="1:12" s="53" customFormat="1" ht="15" customHeight="1" x14ac:dyDescent="0.25">
      <c r="A40" s="27"/>
      <c r="B40" s="570"/>
      <c r="C40" s="569">
        <v>1</v>
      </c>
      <c r="D40" s="113" t="s">
        <v>77</v>
      </c>
      <c r="E40" s="83" t="s">
        <v>288</v>
      </c>
      <c r="F40" s="589"/>
      <c r="G40" s="589"/>
      <c r="H40" s="590"/>
      <c r="J40" s="54"/>
      <c r="K40" s="54"/>
      <c r="L40" s="54"/>
    </row>
    <row r="41" spans="1:12" s="53" customFormat="1" ht="15" customHeight="1" x14ac:dyDescent="0.25">
      <c r="A41" s="27"/>
      <c r="B41" s="570"/>
      <c r="C41" s="569">
        <v>2</v>
      </c>
      <c r="D41" s="113" t="s">
        <v>78</v>
      </c>
      <c r="E41" s="83" t="s">
        <v>289</v>
      </c>
      <c r="F41" s="589"/>
      <c r="G41" s="589"/>
      <c r="H41" s="590"/>
      <c r="J41" s="54"/>
      <c r="K41" s="54"/>
      <c r="L41" s="54"/>
    </row>
    <row r="42" spans="1:12" s="53" customFormat="1" ht="15" customHeight="1" x14ac:dyDescent="0.25">
      <c r="A42" s="27"/>
      <c r="B42" s="570"/>
      <c r="C42" s="560">
        <f ca="1">OFFSET($C42,-1,0,1,1)+1</f>
        <v>3</v>
      </c>
      <c r="D42" s="113" t="s">
        <v>79</v>
      </c>
      <c r="E42" s="83" t="s">
        <v>289</v>
      </c>
      <c r="F42" s="589"/>
      <c r="G42" s="589"/>
      <c r="H42" s="590"/>
      <c r="J42" s="54"/>
      <c r="K42" s="54"/>
      <c r="L42" s="54"/>
    </row>
    <row r="43" spans="1:12" s="53" customFormat="1" ht="15" customHeight="1" x14ac:dyDescent="0.25">
      <c r="A43" s="27"/>
      <c r="B43" s="584"/>
      <c r="C43" s="586">
        <v>1</v>
      </c>
      <c r="D43" s="580"/>
      <c r="E43" s="581"/>
      <c r="F43" s="582"/>
      <c r="G43" s="581"/>
      <c r="H43" s="583"/>
      <c r="J43" s="54"/>
      <c r="K43" s="54"/>
      <c r="L43" s="54"/>
    </row>
    <row r="44" spans="1:12" s="53" customFormat="1" ht="15" customHeight="1" x14ac:dyDescent="0.25">
      <c r="A44" s="27"/>
      <c r="B44" s="575"/>
      <c r="C44" s="558"/>
      <c r="D44" s="580"/>
      <c r="E44" s="581"/>
      <c r="F44" s="582"/>
      <c r="G44" s="581"/>
      <c r="H44" s="583"/>
      <c r="J44" s="54"/>
      <c r="K44" s="54"/>
      <c r="L44" s="54"/>
    </row>
    <row r="45" spans="1:12" s="53" customFormat="1" x14ac:dyDescent="0.25">
      <c r="A45" s="27"/>
      <c r="B45" s="575"/>
      <c r="C45" s="82" t="s">
        <v>172</v>
      </c>
      <c r="D45" s="94"/>
      <c r="E45" s="27"/>
      <c r="F45" s="27"/>
      <c r="G45" s="27"/>
      <c r="H45" s="27"/>
    </row>
    <row r="46" spans="1:12" s="53" customFormat="1" x14ac:dyDescent="0.25">
      <c r="A46" s="27"/>
      <c r="B46" s="575"/>
      <c r="C46" s="27"/>
      <c r="D46" s="95"/>
      <c r="E46" s="27"/>
      <c r="F46" s="27"/>
      <c r="G46" s="27"/>
      <c r="H46" s="27"/>
    </row>
    <row r="47" spans="1:12" s="5" customFormat="1" ht="14.25" x14ac:dyDescent="0.2">
      <c r="B47" s="579"/>
      <c r="C47" s="57"/>
      <c r="D47" s="62" t="s">
        <v>173</v>
      </c>
      <c r="E47" s="61"/>
      <c r="F47" s="69" t="s">
        <v>269</v>
      </c>
      <c r="G47" s="69"/>
      <c r="H47" s="3"/>
    </row>
    <row r="48" spans="1:12" s="5" customFormat="1" ht="14.25" x14ac:dyDescent="0.2">
      <c r="B48" s="579"/>
      <c r="C48" s="116"/>
      <c r="D48" s="62"/>
      <c r="E48" s="61"/>
      <c r="F48" s="115"/>
      <c r="G48" s="115"/>
      <c r="H48" s="3"/>
    </row>
    <row r="49" spans="1:8" s="5" customFormat="1" ht="14.25" x14ac:dyDescent="0.2">
      <c r="B49" s="579"/>
      <c r="C49" s="57"/>
      <c r="D49" s="62" t="s">
        <v>35</v>
      </c>
      <c r="E49" s="767"/>
      <c r="F49" s="69" t="s">
        <v>270</v>
      </c>
      <c r="G49" s="14"/>
      <c r="H49" s="127"/>
    </row>
    <row r="50" spans="1:8" s="5" customFormat="1" ht="14.25" x14ac:dyDescent="0.2">
      <c r="B50" s="579"/>
      <c r="C50" s="116"/>
      <c r="D50" s="62"/>
      <c r="E50" s="700" t="s">
        <v>1440</v>
      </c>
      <c r="F50" s="115"/>
      <c r="G50" s="128"/>
      <c r="H50" s="127"/>
    </row>
    <row r="51" spans="1:8" s="53" customFormat="1" x14ac:dyDescent="0.25">
      <c r="A51" s="27"/>
      <c r="B51" s="575"/>
      <c r="C51" s="27"/>
      <c r="D51" s="95"/>
      <c r="E51" s="27"/>
      <c r="F51" s="27"/>
      <c r="G51" s="27"/>
      <c r="H51" s="27"/>
    </row>
    <row r="52" spans="1:8" s="53" customFormat="1" x14ac:dyDescent="0.25">
      <c r="A52" s="27"/>
      <c r="B52" s="575"/>
      <c r="C52" s="27" t="s">
        <v>80</v>
      </c>
      <c r="D52" s="95" t="s">
        <v>81</v>
      </c>
      <c r="E52" s="27"/>
      <c r="F52" s="27"/>
      <c r="G52" s="27"/>
      <c r="H52" s="27"/>
    </row>
    <row r="53" spans="1:8" s="53" customFormat="1" x14ac:dyDescent="0.25">
      <c r="A53" s="27"/>
      <c r="B53" s="575"/>
      <c r="C53" s="27" t="s">
        <v>82</v>
      </c>
      <c r="D53" s="95" t="s">
        <v>83</v>
      </c>
      <c r="E53" s="27"/>
      <c r="F53" s="27"/>
      <c r="G53" s="27"/>
      <c r="H53" s="27"/>
    </row>
    <row r="54" spans="1:8" s="53" customFormat="1" x14ac:dyDescent="0.25">
      <c r="A54" s="27"/>
      <c r="B54" s="575"/>
      <c r="C54" s="27" t="s">
        <v>84</v>
      </c>
      <c r="D54" s="95" t="s">
        <v>85</v>
      </c>
      <c r="E54" s="27"/>
      <c r="F54" s="27"/>
      <c r="G54" s="27"/>
      <c r="H54" s="27"/>
    </row>
    <row r="55" spans="1:8" s="53" customFormat="1" x14ac:dyDescent="0.25">
      <c r="A55" s="27"/>
      <c r="B55" s="575"/>
      <c r="D55" s="96"/>
    </row>
    <row r="56" spans="1:8" s="53" customFormat="1" x14ac:dyDescent="0.25">
      <c r="A56" s="27"/>
      <c r="B56" s="575"/>
      <c r="D56" s="96"/>
    </row>
    <row r="57" spans="1:8" s="53" customFormat="1" x14ac:dyDescent="0.25">
      <c r="A57" s="27"/>
      <c r="B57" s="575"/>
      <c r="D57" s="96"/>
    </row>
    <row r="58" spans="1:8" s="53" customFormat="1" x14ac:dyDescent="0.25">
      <c r="A58" s="27"/>
      <c r="B58" s="575"/>
      <c r="D58" s="96"/>
    </row>
    <row r="59" spans="1:8" s="53" customFormat="1" x14ac:dyDescent="0.25">
      <c r="A59" s="27"/>
      <c r="B59" s="575"/>
      <c r="D59" s="96"/>
    </row>
    <row r="60" spans="1:8" s="53" customFormat="1" x14ac:dyDescent="0.25">
      <c r="A60" s="27"/>
      <c r="B60" s="575"/>
      <c r="D60" s="96"/>
    </row>
    <row r="61" spans="1:8" s="53" customFormat="1" x14ac:dyDescent="0.25">
      <c r="A61" s="27"/>
      <c r="B61" s="575"/>
      <c r="D61" s="96"/>
    </row>
    <row r="62" spans="1:8" s="53" customFormat="1" x14ac:dyDescent="0.25">
      <c r="A62" s="27"/>
      <c r="B62" s="575"/>
      <c r="D62" s="96"/>
    </row>
    <row r="63" spans="1:8" s="53" customFormat="1" x14ac:dyDescent="0.25">
      <c r="A63" s="27"/>
      <c r="B63" s="575"/>
      <c r="D63" s="96"/>
    </row>
    <row r="64" spans="1:8" s="53" customFormat="1" x14ac:dyDescent="0.25">
      <c r="A64" s="27"/>
      <c r="B64" s="575"/>
      <c r="D64" s="96"/>
    </row>
    <row r="65" spans="1:4" s="53" customFormat="1" x14ac:dyDescent="0.25">
      <c r="A65" s="27"/>
      <c r="B65" s="575"/>
      <c r="D65" s="96"/>
    </row>
    <row r="66" spans="1:4" s="53" customFormat="1" x14ac:dyDescent="0.25">
      <c r="A66" s="27"/>
      <c r="B66" s="575"/>
      <c r="D66" s="96"/>
    </row>
    <row r="67" spans="1:4" s="53" customFormat="1" x14ac:dyDescent="0.25">
      <c r="A67" s="27"/>
      <c r="B67" s="575"/>
      <c r="D67" s="96"/>
    </row>
    <row r="68" spans="1:4" s="53" customFormat="1" x14ac:dyDescent="0.25">
      <c r="A68" s="27"/>
      <c r="B68" s="575"/>
      <c r="D68" s="96"/>
    </row>
    <row r="69" spans="1:4" s="53" customFormat="1" x14ac:dyDescent="0.25">
      <c r="A69" s="27"/>
      <c r="B69" s="575"/>
      <c r="D69" s="96"/>
    </row>
    <row r="70" spans="1:4" s="53" customFormat="1" x14ac:dyDescent="0.25">
      <c r="A70" s="27"/>
      <c r="B70" s="575"/>
      <c r="D70" s="96"/>
    </row>
    <row r="71" spans="1:4" s="53" customFormat="1" x14ac:dyDescent="0.25">
      <c r="A71" s="27"/>
      <c r="B71" s="575"/>
      <c r="D71" s="96"/>
    </row>
    <row r="72" spans="1:4" s="53" customFormat="1" x14ac:dyDescent="0.25">
      <c r="A72" s="27"/>
      <c r="B72" s="575"/>
      <c r="D72" s="96"/>
    </row>
    <row r="73" spans="1:4" s="53" customFormat="1" x14ac:dyDescent="0.25">
      <c r="A73" s="27"/>
      <c r="B73" s="575"/>
      <c r="D73" s="96"/>
    </row>
    <row r="74" spans="1:4" s="53" customFormat="1" x14ac:dyDescent="0.25">
      <c r="A74" s="27"/>
      <c r="B74" s="575"/>
      <c r="D74" s="96"/>
    </row>
    <row r="75" spans="1:4" s="53" customFormat="1" x14ac:dyDescent="0.25">
      <c r="A75" s="27"/>
      <c r="B75" s="575"/>
      <c r="D75" s="96"/>
    </row>
    <row r="76" spans="1:4" s="53" customFormat="1" x14ac:dyDescent="0.25">
      <c r="A76" s="27"/>
      <c r="B76" s="575"/>
      <c r="D76" s="96"/>
    </row>
    <row r="77" spans="1:4" s="53" customFormat="1" x14ac:dyDescent="0.25">
      <c r="A77" s="27"/>
      <c r="B77" s="575"/>
      <c r="D77" s="96"/>
    </row>
    <row r="78" spans="1:4" s="53" customFormat="1" x14ac:dyDescent="0.25">
      <c r="A78" s="27"/>
      <c r="B78" s="575"/>
      <c r="D78" s="96"/>
    </row>
    <row r="79" spans="1:4" s="53" customFormat="1" x14ac:dyDescent="0.25">
      <c r="A79" s="27"/>
      <c r="B79" s="575"/>
      <c r="D79" s="96"/>
    </row>
    <row r="80" spans="1:4" s="53" customFormat="1" x14ac:dyDescent="0.25">
      <c r="A80" s="27"/>
      <c r="B80" s="575"/>
      <c r="D80" s="96"/>
    </row>
    <row r="81" spans="1:4" s="53" customFormat="1" x14ac:dyDescent="0.25">
      <c r="A81" s="27"/>
      <c r="B81" s="575"/>
      <c r="D81" s="96"/>
    </row>
    <row r="82" spans="1:4" s="53" customFormat="1" x14ac:dyDescent="0.25">
      <c r="A82" s="27"/>
      <c r="B82" s="575"/>
      <c r="D82" s="96"/>
    </row>
    <row r="83" spans="1:4" s="53" customFormat="1" x14ac:dyDescent="0.25">
      <c r="A83" s="27"/>
      <c r="B83" s="575"/>
      <c r="D83" s="96"/>
    </row>
    <row r="84" spans="1:4" s="53" customFormat="1" x14ac:dyDescent="0.25">
      <c r="A84" s="27"/>
      <c r="B84" s="575"/>
      <c r="D84" s="96"/>
    </row>
    <row r="85" spans="1:4" s="53" customFormat="1" x14ac:dyDescent="0.25">
      <c r="A85" s="27"/>
      <c r="B85" s="575"/>
      <c r="D85" s="96"/>
    </row>
    <row r="86" spans="1:4" s="53" customFormat="1" x14ac:dyDescent="0.25">
      <c r="A86" s="27"/>
      <c r="B86" s="575"/>
      <c r="D86" s="96"/>
    </row>
    <row r="87" spans="1:4" s="53" customFormat="1" x14ac:dyDescent="0.25">
      <c r="A87" s="27"/>
      <c r="B87" s="575"/>
      <c r="D87" s="96"/>
    </row>
    <row r="88" spans="1:4" s="53" customFormat="1" x14ac:dyDescent="0.25">
      <c r="A88" s="27"/>
      <c r="B88" s="575"/>
      <c r="D88" s="96"/>
    </row>
    <row r="89" spans="1:4" s="53" customFormat="1" x14ac:dyDescent="0.25">
      <c r="A89" s="27"/>
      <c r="B89" s="575"/>
      <c r="D89" s="96"/>
    </row>
    <row r="90" spans="1:4" s="53" customFormat="1" x14ac:dyDescent="0.25">
      <c r="A90" s="27"/>
      <c r="B90" s="575"/>
      <c r="D90" s="96"/>
    </row>
    <row r="91" spans="1:4" s="53" customFormat="1" x14ac:dyDescent="0.25">
      <c r="A91" s="27"/>
      <c r="B91" s="575"/>
      <c r="D91" s="96"/>
    </row>
    <row r="92" spans="1:4" s="53" customFormat="1" x14ac:dyDescent="0.25">
      <c r="A92" s="27"/>
      <c r="B92" s="575"/>
      <c r="D92" s="96"/>
    </row>
    <row r="93" spans="1:4" s="53" customFormat="1" x14ac:dyDescent="0.25">
      <c r="A93" s="27"/>
      <c r="B93" s="575"/>
      <c r="D93" s="96"/>
    </row>
    <row r="94" spans="1:4" s="53" customFormat="1" x14ac:dyDescent="0.25">
      <c r="A94" s="27"/>
      <c r="B94" s="575"/>
      <c r="D94" s="96"/>
    </row>
    <row r="95" spans="1:4" s="53" customFormat="1" x14ac:dyDescent="0.25">
      <c r="A95" s="27"/>
      <c r="B95" s="575"/>
      <c r="D95" s="96"/>
    </row>
    <row r="96" spans="1:4" s="53" customFormat="1" x14ac:dyDescent="0.25">
      <c r="A96" s="27"/>
      <c r="B96" s="575"/>
      <c r="D96" s="96"/>
    </row>
    <row r="97" spans="1:4" s="53" customFormat="1" x14ac:dyDescent="0.25">
      <c r="A97" s="27"/>
      <c r="B97" s="575"/>
      <c r="D97" s="96"/>
    </row>
    <row r="98" spans="1:4" s="53" customFormat="1" x14ac:dyDescent="0.25">
      <c r="A98" s="27"/>
      <c r="B98" s="575"/>
      <c r="D98" s="96"/>
    </row>
    <row r="99" spans="1:4" s="53" customFormat="1" x14ac:dyDescent="0.25">
      <c r="A99" s="27"/>
      <c r="B99" s="575"/>
      <c r="D99" s="96"/>
    </row>
    <row r="100" spans="1:4" s="53" customFormat="1" x14ac:dyDescent="0.25">
      <c r="A100" s="27"/>
      <c r="B100" s="575"/>
      <c r="D100" s="96"/>
    </row>
    <row r="101" spans="1:4" s="53" customFormat="1" x14ac:dyDescent="0.25">
      <c r="A101" s="27"/>
      <c r="B101" s="575"/>
      <c r="D101" s="96"/>
    </row>
    <row r="102" spans="1:4" s="53" customFormat="1" x14ac:dyDescent="0.25">
      <c r="A102" s="27"/>
      <c r="B102" s="575"/>
      <c r="D102" s="96"/>
    </row>
  </sheetData>
  <sheetProtection algorithmName="SHA-512" hashValue="xSJM6PgwM9RmS1+kCg5wFQwdWGyMowTWphdomI8LijMBs67mlUqZnpgldJv29QjQJG6l04cz+BuJmVq2OnBZuw==" saltValue="7oYcSuPmd91Tq4LEoLCLWQ==" spinCount="100000" sheet="1" objects="1" scenarios="1" selectLockedCells="1"/>
  <mergeCells count="10">
    <mergeCell ref="E39:G39"/>
    <mergeCell ref="D1:G1"/>
    <mergeCell ref="E3:F3"/>
    <mergeCell ref="E5:F5"/>
    <mergeCell ref="C10:H10"/>
    <mergeCell ref="E7:F7"/>
    <mergeCell ref="E4:F4"/>
    <mergeCell ref="E6:F6"/>
    <mergeCell ref="E8:F8"/>
    <mergeCell ref="B11:C11"/>
  </mergeCells>
  <dataValidations count="1">
    <dataValidation type="decimal" allowBlank="1" showInputMessage="1" showErrorMessage="1" errorTitle="Анхаар" error="Зөвхөн тоо оруулна уу." sqref="F13:G38 F42:G42 F40:G41">
      <formula1>-9.99999999999999E+34</formula1>
      <formula2>9.99999999999999E+35</formula2>
    </dataValidation>
  </dataValidations>
  <pageMargins left="0.66" right="0.25" top="0.75" bottom="0.75" header="0.3" footer="0.3"/>
  <pageSetup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coalRep_16_add_row">
                <anchor moveWithCells="1" sizeWithCells="1">
                  <from>
                    <xdr:col>1</xdr:col>
                    <xdr:colOff>57150</xdr:colOff>
                    <xdr:row>40</xdr:row>
                    <xdr:rowOff>19050</xdr:rowOff>
                  </from>
                  <to>
                    <xdr:col>1</xdr:col>
                    <xdr:colOff>247650</xdr:colOff>
                    <xdr:row>40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N48"/>
  <sheetViews>
    <sheetView showGridLines="0" zoomScaleNormal="100" workbookViewId="0">
      <selection activeCell="F24" sqref="F24"/>
    </sheetView>
  </sheetViews>
  <sheetFormatPr defaultColWidth="9.140625" defaultRowHeight="12.75" x14ac:dyDescent="0.25"/>
  <cols>
    <col min="1" max="1" width="10.42578125" style="27" customWidth="1"/>
    <col min="2" max="2" width="9.28515625" style="27" customWidth="1"/>
    <col min="3" max="4" width="4.28515625" style="27" customWidth="1"/>
    <col min="5" max="5" width="21.28515625" style="90" customWidth="1"/>
    <col min="6" max="6" width="19.140625" style="27" customWidth="1"/>
    <col min="7" max="7" width="8" style="27" customWidth="1"/>
    <col min="8" max="8" width="8.5703125" style="27" customWidth="1"/>
    <col min="9" max="10" width="10.140625" style="27" customWidth="1"/>
    <col min="11" max="11" width="11.85546875" style="27" customWidth="1"/>
    <col min="12" max="12" width="23.28515625" style="27" customWidth="1"/>
    <col min="13" max="13" width="27.42578125" style="27" customWidth="1"/>
    <col min="14" max="14" width="8.85546875" style="27" customWidth="1"/>
    <col min="15" max="15" width="25.140625" style="27" customWidth="1"/>
    <col min="16" max="16" width="7.85546875" style="27" customWidth="1"/>
    <col min="17" max="17" width="18.140625" style="27" customWidth="1"/>
    <col min="18" max="16384" width="9.140625" style="27"/>
  </cols>
  <sheetData>
    <row r="1" spans="1:14" x14ac:dyDescent="0.25">
      <c r="A1" s="5"/>
      <c r="B1" s="5"/>
      <c r="C1" s="5"/>
      <c r="D1" s="5"/>
      <c r="E1" s="133"/>
      <c r="F1" s="5"/>
      <c r="G1" s="5"/>
      <c r="H1" s="5"/>
      <c r="I1" s="5"/>
      <c r="J1" s="5"/>
      <c r="K1" s="5"/>
      <c r="L1" s="5"/>
      <c r="M1" s="5"/>
      <c r="N1" s="5"/>
    </row>
    <row r="2" spans="1:14" s="117" customFormat="1" ht="47.1" customHeight="1" x14ac:dyDescent="0.2">
      <c r="B2" s="1016" t="s">
        <v>273</v>
      </c>
      <c r="C2" s="1016"/>
      <c r="D2" s="1016"/>
      <c r="E2" s="1016"/>
      <c r="F2" s="1016"/>
      <c r="G2" s="1016"/>
      <c r="H2" s="1016"/>
      <c r="I2" s="1016"/>
      <c r="J2" s="1016"/>
      <c r="M2" s="77" t="s">
        <v>1397</v>
      </c>
    </row>
    <row r="3" spans="1:14" s="117" customFormat="1" ht="15.95" customHeight="1" x14ac:dyDescent="0.2">
      <c r="B3" s="131"/>
      <c r="C3" s="545"/>
      <c r="D3" s="545"/>
      <c r="E3" s="131"/>
      <c r="F3" s="131"/>
      <c r="G3" s="131"/>
      <c r="H3" s="131"/>
      <c r="I3" s="131"/>
      <c r="J3" s="131"/>
      <c r="M3" s="77"/>
    </row>
    <row r="4" spans="1:14" s="43" customFormat="1" ht="20.100000000000001" customHeight="1" x14ac:dyDescent="0.25">
      <c r="A4" s="969" t="s">
        <v>1411</v>
      </c>
      <c r="B4" s="969"/>
      <c r="C4" s="969"/>
      <c r="D4" s="969"/>
      <c r="G4" s="1008" t="s">
        <v>1412</v>
      </c>
      <c r="H4" s="1008"/>
      <c r="I4" s="1008"/>
      <c r="J4" s="1008"/>
      <c r="K4" s="599" t="str">
        <f>VLOOKUP(G4,Source!CN1:CP4,2,0)</f>
        <v>z_1</v>
      </c>
    </row>
    <row r="5" spans="1:14" s="43" customFormat="1" ht="9" customHeight="1" x14ac:dyDescent="0.25">
      <c r="A5" s="107"/>
      <c r="B5" s="107"/>
      <c r="C5" s="107"/>
      <c r="D5" s="107"/>
      <c r="G5" s="124"/>
      <c r="H5" s="124"/>
      <c r="I5" s="124"/>
      <c r="J5" s="124"/>
    </row>
    <row r="6" spans="1:14" s="43" customFormat="1" ht="20.100000000000001" customHeight="1" x14ac:dyDescent="0.25">
      <c r="A6" s="969" t="s">
        <v>1</v>
      </c>
      <c r="B6" s="969"/>
      <c r="C6" s="969"/>
      <c r="D6" s="969"/>
      <c r="E6" s="81"/>
      <c r="G6" s="847"/>
      <c r="H6" s="847"/>
      <c r="I6" s="847"/>
      <c r="J6" s="847"/>
    </row>
    <row r="7" spans="1:14" s="43" customFormat="1" ht="8.25" customHeight="1" x14ac:dyDescent="0.25">
      <c r="A7" s="107"/>
      <c r="B7" s="107"/>
      <c r="C7" s="107"/>
      <c r="D7" s="107"/>
      <c r="G7" s="846" t="s">
        <v>1430</v>
      </c>
      <c r="H7" s="846"/>
      <c r="I7" s="846"/>
      <c r="J7" s="846"/>
    </row>
    <row r="8" spans="1:14" s="43" customFormat="1" ht="20.100000000000001" customHeight="1" x14ac:dyDescent="0.25">
      <c r="A8" s="969" t="s">
        <v>274</v>
      </c>
      <c r="B8" s="969"/>
      <c r="C8" s="969"/>
      <c r="D8" s="969"/>
      <c r="E8" s="81"/>
      <c r="G8" s="847"/>
      <c r="H8" s="847"/>
      <c r="I8" s="847"/>
      <c r="J8" s="847"/>
    </row>
    <row r="9" spans="1:14" s="43" customFormat="1" ht="5.25" customHeight="1" x14ac:dyDescent="0.25">
      <c r="A9" s="107"/>
      <c r="G9" s="846" t="s">
        <v>1431</v>
      </c>
      <c r="H9" s="846"/>
      <c r="I9" s="846"/>
      <c r="J9" s="846"/>
    </row>
    <row r="10" spans="1:14" s="43" customFormat="1" ht="15.75" x14ac:dyDescent="0.25">
      <c r="A10" s="107"/>
      <c r="G10" s="143"/>
      <c r="H10" s="143"/>
    </row>
    <row r="11" spans="1:14" ht="27.95" customHeight="1" x14ac:dyDescent="0.25">
      <c r="A11" s="1026" t="s">
        <v>86</v>
      </c>
      <c r="B11" s="1026"/>
      <c r="C11" s="1026"/>
      <c r="D11" s="1026"/>
      <c r="E11" s="1026"/>
      <c r="F11" s="1026"/>
      <c r="G11" s="1026"/>
      <c r="H11" s="1026"/>
      <c r="I11" s="1026"/>
      <c r="J11" s="1026"/>
      <c r="K11" s="1026"/>
      <c r="L11" s="1026"/>
      <c r="M11" s="1026"/>
      <c r="N11" s="28"/>
    </row>
    <row r="12" spans="1:14" ht="24.75" customHeight="1" x14ac:dyDescent="0.25">
      <c r="A12" s="1043" t="s">
        <v>8</v>
      </c>
      <c r="B12" s="1041" t="s">
        <v>87</v>
      </c>
      <c r="C12" s="1045" t="s">
        <v>88</v>
      </c>
      <c r="D12" s="1046"/>
      <c r="E12" s="1047"/>
      <c r="F12" s="1041" t="s">
        <v>89</v>
      </c>
      <c r="G12" s="1041" t="s">
        <v>90</v>
      </c>
      <c r="H12" s="1041"/>
      <c r="I12" s="1041" t="s">
        <v>132</v>
      </c>
      <c r="J12" s="1041"/>
      <c r="K12" s="1041" t="s">
        <v>91</v>
      </c>
      <c r="L12" s="1041" t="s">
        <v>92</v>
      </c>
      <c r="M12" s="1041" t="s">
        <v>3</v>
      </c>
    </row>
    <row r="13" spans="1:14" ht="22.5" x14ac:dyDescent="0.25">
      <c r="A13" s="1044"/>
      <c r="B13" s="1042"/>
      <c r="C13" s="1048"/>
      <c r="D13" s="1049"/>
      <c r="E13" s="1050"/>
      <c r="F13" s="1042"/>
      <c r="G13" s="132" t="s">
        <v>4</v>
      </c>
      <c r="H13" s="132" t="s">
        <v>93</v>
      </c>
      <c r="I13" s="132" t="s">
        <v>93</v>
      </c>
      <c r="J13" s="132" t="s">
        <v>94</v>
      </c>
      <c r="K13" s="1042"/>
      <c r="L13" s="1042"/>
      <c r="M13" s="1042"/>
    </row>
    <row r="14" spans="1:14" ht="15" customHeight="1" x14ac:dyDescent="0.25">
      <c r="A14" s="593" t="s">
        <v>95</v>
      </c>
      <c r="B14" s="595" t="s">
        <v>133</v>
      </c>
      <c r="C14" s="547"/>
      <c r="D14" s="547">
        <v>1</v>
      </c>
      <c r="E14" s="642"/>
      <c r="F14" s="275"/>
      <c r="G14" s="39" t="s">
        <v>204</v>
      </c>
      <c r="H14" s="265"/>
      <c r="I14" s="265"/>
      <c r="J14" s="145" t="s">
        <v>305</v>
      </c>
      <c r="K14" s="145">
        <v>1</v>
      </c>
      <c r="L14" s="265"/>
      <c r="M14" s="266"/>
      <c r="N14" s="133"/>
    </row>
    <row r="15" spans="1:14" ht="15" customHeight="1" x14ac:dyDescent="0.25">
      <c r="A15" s="525"/>
      <c r="B15" s="595" t="s">
        <v>303</v>
      </c>
      <c r="C15" s="547"/>
      <c r="D15" s="547">
        <v>1</v>
      </c>
      <c r="E15" s="642"/>
      <c r="F15" s="275"/>
      <c r="G15" s="39" t="s">
        <v>204</v>
      </c>
      <c r="H15" s="265"/>
      <c r="I15" s="265"/>
      <c r="J15" s="145" t="s">
        <v>305</v>
      </c>
      <c r="K15" s="145">
        <v>1</v>
      </c>
      <c r="L15" s="265"/>
      <c r="M15" s="266"/>
      <c r="N15" s="133"/>
    </row>
    <row r="16" spans="1:14" ht="15" customHeight="1" x14ac:dyDescent="0.25">
      <c r="A16" s="525"/>
      <c r="B16" s="595" t="s">
        <v>302</v>
      </c>
      <c r="C16" s="547"/>
      <c r="D16" s="547">
        <v>1</v>
      </c>
      <c r="E16" s="642"/>
      <c r="F16" s="275"/>
      <c r="G16" s="39" t="s">
        <v>204</v>
      </c>
      <c r="H16" s="265"/>
      <c r="I16" s="265"/>
      <c r="J16" s="145" t="s">
        <v>305</v>
      </c>
      <c r="K16" s="145">
        <v>1</v>
      </c>
      <c r="L16" s="265"/>
      <c r="M16" s="266"/>
      <c r="N16" s="133"/>
    </row>
    <row r="17" spans="1:14" ht="15" customHeight="1" x14ac:dyDescent="0.25">
      <c r="A17" s="525"/>
      <c r="B17" s="595" t="s">
        <v>301</v>
      </c>
      <c r="C17" s="547"/>
      <c r="D17" s="547">
        <v>1</v>
      </c>
      <c r="E17" s="642"/>
      <c r="F17" s="275"/>
      <c r="G17" s="39" t="s">
        <v>204</v>
      </c>
      <c r="H17" s="265"/>
      <c r="I17" s="265"/>
      <c r="J17" s="145" t="s">
        <v>305</v>
      </c>
      <c r="K17" s="145">
        <v>1</v>
      </c>
      <c r="L17" s="265"/>
      <c r="M17" s="266"/>
      <c r="N17" s="133"/>
    </row>
    <row r="18" spans="1:14" ht="15" customHeight="1" x14ac:dyDescent="0.25">
      <c r="A18" s="525"/>
      <c r="B18" s="595" t="s">
        <v>300</v>
      </c>
      <c r="C18" s="547"/>
      <c r="D18" s="547">
        <v>1</v>
      </c>
      <c r="E18" s="642"/>
      <c r="F18" s="275"/>
      <c r="G18" s="39" t="s">
        <v>204</v>
      </c>
      <c r="H18" s="265"/>
      <c r="I18" s="265"/>
      <c r="J18" s="145" t="s">
        <v>305</v>
      </c>
      <c r="K18" s="145">
        <v>1</v>
      </c>
      <c r="L18" s="265"/>
      <c r="M18" s="266"/>
      <c r="N18" s="133"/>
    </row>
    <row r="19" spans="1:14" ht="15" customHeight="1" x14ac:dyDescent="0.25">
      <c r="A19" s="525"/>
      <c r="B19" s="595" t="s">
        <v>299</v>
      </c>
      <c r="C19" s="547"/>
      <c r="D19" s="547">
        <v>1</v>
      </c>
      <c r="E19" s="642"/>
      <c r="F19" s="275"/>
      <c r="G19" s="39" t="s">
        <v>204</v>
      </c>
      <c r="H19" s="265"/>
      <c r="I19" s="265"/>
      <c r="J19" s="145" t="s">
        <v>305</v>
      </c>
      <c r="K19" s="145">
        <v>1</v>
      </c>
      <c r="L19" s="265"/>
      <c r="M19" s="266"/>
      <c r="N19" s="133"/>
    </row>
    <row r="20" spans="1:14" ht="15" customHeight="1" x14ac:dyDescent="0.25">
      <c r="A20" s="525"/>
      <c r="B20" s="595" t="s">
        <v>298</v>
      </c>
      <c r="C20" s="547"/>
      <c r="D20" s="547">
        <v>1</v>
      </c>
      <c r="E20" s="642"/>
      <c r="F20" s="275"/>
      <c r="G20" s="39" t="s">
        <v>204</v>
      </c>
      <c r="H20" s="265"/>
      <c r="I20" s="265"/>
      <c r="J20" s="145" t="s">
        <v>305</v>
      </c>
      <c r="K20" s="145">
        <v>1</v>
      </c>
      <c r="L20" s="265"/>
      <c r="M20" s="266"/>
      <c r="N20" s="133"/>
    </row>
    <row r="21" spans="1:14" ht="15" customHeight="1" x14ac:dyDescent="0.25">
      <c r="A21" s="525"/>
      <c r="B21" s="595" t="s">
        <v>297</v>
      </c>
      <c r="C21" s="547"/>
      <c r="D21" s="547">
        <v>1</v>
      </c>
      <c r="E21" s="642"/>
      <c r="F21" s="275"/>
      <c r="G21" s="39" t="s">
        <v>204</v>
      </c>
      <c r="H21" s="265"/>
      <c r="I21" s="265"/>
      <c r="J21" s="145" t="s">
        <v>305</v>
      </c>
      <c r="K21" s="145">
        <v>1</v>
      </c>
      <c r="L21" s="265"/>
      <c r="M21" s="266"/>
      <c r="N21" s="133"/>
    </row>
    <row r="22" spans="1:14" ht="15" customHeight="1" x14ac:dyDescent="0.25">
      <c r="A22" s="525"/>
      <c r="B22" s="595" t="s">
        <v>296</v>
      </c>
      <c r="C22" s="547"/>
      <c r="D22" s="547">
        <v>1</v>
      </c>
      <c r="E22" s="642"/>
      <c r="F22" s="275"/>
      <c r="G22" s="39" t="s">
        <v>204</v>
      </c>
      <c r="H22" s="265"/>
      <c r="I22" s="265"/>
      <c r="J22" s="145" t="s">
        <v>305</v>
      </c>
      <c r="K22" s="145">
        <v>1</v>
      </c>
      <c r="L22" s="265"/>
      <c r="M22" s="266"/>
      <c r="N22" s="133"/>
    </row>
    <row r="23" spans="1:14" ht="15" customHeight="1" x14ac:dyDescent="0.25">
      <c r="A23" s="525"/>
      <c r="B23" s="595" t="s">
        <v>295</v>
      </c>
      <c r="C23" s="547"/>
      <c r="D23" s="547">
        <v>1</v>
      </c>
      <c r="E23" s="642"/>
      <c r="F23" s="275"/>
      <c r="G23" s="39" t="s">
        <v>204</v>
      </c>
      <c r="H23" s="265"/>
      <c r="I23" s="265"/>
      <c r="J23" s="145" t="s">
        <v>305</v>
      </c>
      <c r="K23" s="145">
        <v>1</v>
      </c>
      <c r="L23" s="265"/>
      <c r="M23" s="266"/>
      <c r="N23" s="133"/>
    </row>
    <row r="24" spans="1:14" ht="15" customHeight="1" x14ac:dyDescent="0.25">
      <c r="A24" s="525"/>
      <c r="B24" s="595" t="s">
        <v>294</v>
      </c>
      <c r="C24" s="547"/>
      <c r="D24" s="547">
        <v>1</v>
      </c>
      <c r="E24" s="642"/>
      <c r="F24" s="275"/>
      <c r="G24" s="39" t="s">
        <v>204</v>
      </c>
      <c r="H24" s="265"/>
      <c r="I24" s="265"/>
      <c r="J24" s="145" t="s">
        <v>305</v>
      </c>
      <c r="K24" s="145">
        <v>1</v>
      </c>
      <c r="L24" s="265"/>
      <c r="M24" s="266"/>
      <c r="N24" s="133"/>
    </row>
    <row r="25" spans="1:14" ht="15" customHeight="1" x14ac:dyDescent="0.25">
      <c r="A25" s="525"/>
      <c r="B25" s="595" t="s">
        <v>293</v>
      </c>
      <c r="C25" s="595"/>
      <c r="D25" s="595">
        <v>1</v>
      </c>
      <c r="E25" s="642"/>
      <c r="F25" s="275"/>
      <c r="G25" s="39" t="s">
        <v>204</v>
      </c>
      <c r="H25" s="265"/>
      <c r="I25" s="265"/>
      <c r="J25" s="145" t="s">
        <v>305</v>
      </c>
      <c r="K25" s="145">
        <v>1</v>
      </c>
      <c r="L25" s="265"/>
      <c r="M25" s="266"/>
      <c r="N25" s="133"/>
    </row>
    <row r="26" spans="1:14" ht="15" customHeight="1" x14ac:dyDescent="0.25">
      <c r="A26" s="605"/>
      <c r="B26" s="644" t="s">
        <v>103</v>
      </c>
      <c r="C26" s="645"/>
      <c r="D26" s="520">
        <v>1</v>
      </c>
      <c r="E26" s="655"/>
      <c r="F26" s="631"/>
      <c r="G26" s="39"/>
      <c r="H26" s="656"/>
      <c r="I26" s="145"/>
      <c r="J26" s="145"/>
      <c r="K26" s="145"/>
      <c r="L26" s="656"/>
      <c r="M26" s="266"/>
      <c r="N26" s="543"/>
    </row>
    <row r="27" spans="1:14" ht="15" customHeight="1" x14ac:dyDescent="0.25">
      <c r="A27" s="593" t="s">
        <v>96</v>
      </c>
      <c r="B27" s="595" t="s">
        <v>133</v>
      </c>
      <c r="C27" s="547"/>
      <c r="D27" s="547">
        <v>1</v>
      </c>
      <c r="E27" s="642"/>
      <c r="F27" s="275"/>
      <c r="G27" s="39" t="s">
        <v>204</v>
      </c>
      <c r="H27" s="265"/>
      <c r="I27" s="265"/>
      <c r="J27" s="275"/>
      <c r="K27" s="265"/>
      <c r="L27" s="265"/>
      <c r="M27" s="266"/>
      <c r="N27" s="133"/>
    </row>
    <row r="28" spans="1:14" ht="15" customHeight="1" x14ac:dyDescent="0.25">
      <c r="A28" s="525"/>
      <c r="B28" s="595" t="s">
        <v>303</v>
      </c>
      <c r="C28" s="547"/>
      <c r="D28" s="547">
        <v>1</v>
      </c>
      <c r="E28" s="642"/>
      <c r="F28" s="275"/>
      <c r="G28" s="39" t="s">
        <v>204</v>
      </c>
      <c r="H28" s="265"/>
      <c r="I28" s="265"/>
      <c r="J28" s="275"/>
      <c r="K28" s="265"/>
      <c r="L28" s="265"/>
      <c r="M28" s="266"/>
      <c r="N28" s="133"/>
    </row>
    <row r="29" spans="1:14" ht="15" customHeight="1" x14ac:dyDescent="0.25">
      <c r="A29" s="525"/>
      <c r="B29" s="595" t="s">
        <v>302</v>
      </c>
      <c r="C29" s="547"/>
      <c r="D29" s="547">
        <v>1</v>
      </c>
      <c r="E29" s="642"/>
      <c r="F29" s="275"/>
      <c r="G29" s="39" t="s">
        <v>204</v>
      </c>
      <c r="H29" s="265"/>
      <c r="I29" s="265"/>
      <c r="J29" s="275"/>
      <c r="K29" s="265"/>
      <c r="L29" s="265"/>
      <c r="M29" s="266"/>
      <c r="N29" s="133"/>
    </row>
    <row r="30" spans="1:14" ht="15" customHeight="1" x14ac:dyDescent="0.25">
      <c r="A30" s="525"/>
      <c r="B30" s="595" t="s">
        <v>301</v>
      </c>
      <c r="C30" s="547"/>
      <c r="D30" s="547">
        <v>1</v>
      </c>
      <c r="E30" s="642"/>
      <c r="F30" s="275"/>
      <c r="G30" s="39" t="s">
        <v>204</v>
      </c>
      <c r="H30" s="265"/>
      <c r="I30" s="265"/>
      <c r="J30" s="275"/>
      <c r="K30" s="265"/>
      <c r="L30" s="265"/>
      <c r="M30" s="266"/>
      <c r="N30" s="133"/>
    </row>
    <row r="31" spans="1:14" ht="15" customHeight="1" x14ac:dyDescent="0.25">
      <c r="A31" s="525"/>
      <c r="B31" s="595" t="s">
        <v>300</v>
      </c>
      <c r="C31" s="547"/>
      <c r="D31" s="547">
        <v>1</v>
      </c>
      <c r="E31" s="642"/>
      <c r="F31" s="275"/>
      <c r="G31" s="39" t="s">
        <v>204</v>
      </c>
      <c r="H31" s="265"/>
      <c r="I31" s="265"/>
      <c r="J31" s="275"/>
      <c r="K31" s="265"/>
      <c r="L31" s="265"/>
      <c r="M31" s="266"/>
      <c r="N31" s="133"/>
    </row>
    <row r="32" spans="1:14" ht="15" customHeight="1" x14ac:dyDescent="0.25">
      <c r="A32" s="525"/>
      <c r="B32" s="595" t="s">
        <v>299</v>
      </c>
      <c r="C32" s="547"/>
      <c r="D32" s="547">
        <v>1</v>
      </c>
      <c r="E32" s="642"/>
      <c r="F32" s="275"/>
      <c r="G32" s="39" t="s">
        <v>204</v>
      </c>
      <c r="H32" s="265"/>
      <c r="I32" s="265"/>
      <c r="J32" s="275"/>
      <c r="K32" s="265"/>
      <c r="L32" s="265"/>
      <c r="M32" s="266"/>
      <c r="N32" s="133"/>
    </row>
    <row r="33" spans="1:14" ht="15" customHeight="1" x14ac:dyDescent="0.25">
      <c r="A33" s="525"/>
      <c r="B33" s="595" t="s">
        <v>298</v>
      </c>
      <c r="C33" s="549"/>
      <c r="D33" s="547">
        <v>1</v>
      </c>
      <c r="E33" s="642"/>
      <c r="F33" s="275"/>
      <c r="G33" s="39" t="s">
        <v>204</v>
      </c>
      <c r="H33" s="265"/>
      <c r="I33" s="265"/>
      <c r="J33" s="275"/>
      <c r="K33" s="265"/>
      <c r="L33" s="265"/>
      <c r="M33" s="266"/>
      <c r="N33" s="133"/>
    </row>
    <row r="34" spans="1:14" ht="15" customHeight="1" x14ac:dyDescent="0.25">
      <c r="A34" s="525"/>
      <c r="B34" s="595" t="s">
        <v>297</v>
      </c>
      <c r="C34" s="547"/>
      <c r="D34" s="547">
        <v>1</v>
      </c>
      <c r="E34" s="642"/>
      <c r="F34" s="275"/>
      <c r="G34" s="39" t="s">
        <v>204</v>
      </c>
      <c r="H34" s="265"/>
      <c r="I34" s="265"/>
      <c r="J34" s="275"/>
      <c r="K34" s="265"/>
      <c r="L34" s="265"/>
      <c r="M34" s="266"/>
      <c r="N34" s="133"/>
    </row>
    <row r="35" spans="1:14" ht="15" customHeight="1" x14ac:dyDescent="0.25">
      <c r="A35" s="525"/>
      <c r="B35" s="595" t="s">
        <v>296</v>
      </c>
      <c r="C35" s="547"/>
      <c r="D35" s="547">
        <v>1</v>
      </c>
      <c r="E35" s="642"/>
      <c r="F35" s="275"/>
      <c r="G35" s="39" t="s">
        <v>204</v>
      </c>
      <c r="H35" s="265"/>
      <c r="I35" s="265"/>
      <c r="J35" s="275"/>
      <c r="K35" s="265"/>
      <c r="L35" s="265"/>
      <c r="M35" s="266"/>
      <c r="N35" s="133"/>
    </row>
    <row r="36" spans="1:14" ht="15" customHeight="1" x14ac:dyDescent="0.25">
      <c r="A36" s="525"/>
      <c r="B36" s="595" t="s">
        <v>295</v>
      </c>
      <c r="C36" s="547"/>
      <c r="D36" s="547">
        <v>1</v>
      </c>
      <c r="E36" s="642"/>
      <c r="F36" s="275"/>
      <c r="G36" s="39" t="s">
        <v>204</v>
      </c>
      <c r="H36" s="265"/>
      <c r="I36" s="265"/>
      <c r="J36" s="275"/>
      <c r="K36" s="265"/>
      <c r="L36" s="265"/>
      <c r="M36" s="266"/>
      <c r="N36" s="133"/>
    </row>
    <row r="37" spans="1:14" ht="15" customHeight="1" x14ac:dyDescent="0.25">
      <c r="A37" s="525"/>
      <c r="B37" s="595" t="s">
        <v>294</v>
      </c>
      <c r="C37" s="547"/>
      <c r="D37" s="547">
        <v>1</v>
      </c>
      <c r="E37" s="642"/>
      <c r="F37" s="275"/>
      <c r="G37" s="39" t="s">
        <v>204</v>
      </c>
      <c r="H37" s="265"/>
      <c r="I37" s="265"/>
      <c r="J37" s="275"/>
      <c r="K37" s="265"/>
      <c r="L37" s="265"/>
      <c r="M37" s="266"/>
      <c r="N37" s="133"/>
    </row>
    <row r="38" spans="1:14" ht="15" customHeight="1" x14ac:dyDescent="0.25">
      <c r="A38" s="525"/>
      <c r="B38" s="595" t="s">
        <v>293</v>
      </c>
      <c r="C38" s="547"/>
      <c r="D38" s="547">
        <v>1</v>
      </c>
      <c r="E38" s="642"/>
      <c r="F38" s="275"/>
      <c r="G38" s="39" t="s">
        <v>204</v>
      </c>
      <c r="H38" s="265"/>
      <c r="I38" s="265"/>
      <c r="J38" s="275"/>
      <c r="K38" s="265"/>
      <c r="L38" s="265"/>
      <c r="M38" s="266"/>
      <c r="N38" s="133"/>
    </row>
    <row r="39" spans="1:14" ht="15" customHeight="1" x14ac:dyDescent="0.25">
      <c r="A39" s="605"/>
      <c r="B39" s="643" t="s">
        <v>103</v>
      </c>
      <c r="C39" s="646"/>
      <c r="D39" s="643">
        <v>1</v>
      </c>
      <c r="E39" s="657"/>
      <c r="F39" s="631"/>
      <c r="G39" s="39"/>
      <c r="H39" s="656"/>
      <c r="I39" s="1032"/>
      <c r="J39" s="1033"/>
      <c r="K39" s="1034"/>
      <c r="L39" s="656"/>
      <c r="M39" s="266"/>
      <c r="N39" s="133"/>
    </row>
    <row r="40" spans="1:14" ht="30" customHeight="1" x14ac:dyDescent="0.25">
      <c r="A40" s="1051" t="s">
        <v>97</v>
      </c>
      <c r="B40" s="1052"/>
      <c r="C40" s="1057" t="s">
        <v>206</v>
      </c>
      <c r="D40" s="1057"/>
      <c r="E40" s="1057"/>
      <c r="F40" s="1029"/>
      <c r="G40" s="39" t="s">
        <v>204</v>
      </c>
      <c r="H40" s="656"/>
      <c r="I40" s="1035"/>
      <c r="J40" s="1036"/>
      <c r="K40" s="1037"/>
      <c r="L40" s="656"/>
      <c r="M40" s="266"/>
      <c r="N40" s="133"/>
    </row>
    <row r="41" spans="1:14" ht="30" customHeight="1" x14ac:dyDescent="0.25">
      <c r="A41" s="1053"/>
      <c r="B41" s="1054"/>
      <c r="C41" s="1057" t="s">
        <v>205</v>
      </c>
      <c r="D41" s="1057"/>
      <c r="E41" s="1057"/>
      <c r="F41" s="1030"/>
      <c r="G41" s="39" t="s">
        <v>204</v>
      </c>
      <c r="H41" s="656"/>
      <c r="I41" s="1035"/>
      <c r="J41" s="1036"/>
      <c r="K41" s="1037"/>
      <c r="L41" s="656"/>
      <c r="M41" s="266"/>
      <c r="N41" s="133"/>
    </row>
    <row r="42" spans="1:14" ht="30" customHeight="1" x14ac:dyDescent="0.25">
      <c r="A42" s="1055"/>
      <c r="B42" s="1056"/>
      <c r="C42" s="1057" t="s">
        <v>207</v>
      </c>
      <c r="D42" s="1057"/>
      <c r="E42" s="1057"/>
      <c r="F42" s="1031"/>
      <c r="G42" s="39" t="s">
        <v>204</v>
      </c>
      <c r="H42" s="647">
        <f>SUM(H40:H41)</f>
        <v>0</v>
      </c>
      <c r="I42" s="1038"/>
      <c r="J42" s="1039"/>
      <c r="K42" s="1040"/>
      <c r="L42" s="647">
        <f>SUM(L40:L41)</f>
        <v>0</v>
      </c>
      <c r="M42" s="266"/>
      <c r="N42" s="133"/>
    </row>
    <row r="43" spans="1:14" ht="27" customHeight="1" x14ac:dyDescent="0.25">
      <c r="A43" s="1020"/>
      <c r="B43" s="1020"/>
      <c r="C43" s="546"/>
      <c r="D43" s="546"/>
      <c r="E43" s="4"/>
      <c r="F43" s="4"/>
      <c r="J43" s="134"/>
      <c r="K43" s="88"/>
      <c r="L43" s="88"/>
      <c r="M43" s="89"/>
      <c r="N43" s="133"/>
    </row>
    <row r="44" spans="1:14" s="5" customFormat="1" ht="14.25" x14ac:dyDescent="0.2">
      <c r="A44" s="130"/>
      <c r="B44" s="123" t="s">
        <v>173</v>
      </c>
      <c r="C44" s="123"/>
      <c r="D44" s="123"/>
      <c r="E44" s="122"/>
      <c r="I44" s="122" t="s">
        <v>269</v>
      </c>
      <c r="J44" s="122"/>
    </row>
    <row r="45" spans="1:14" s="5" customFormat="1" ht="14.25" x14ac:dyDescent="0.2">
      <c r="A45" s="130"/>
      <c r="B45" s="123"/>
      <c r="C45" s="123"/>
      <c r="D45" s="123"/>
      <c r="E45" s="122"/>
      <c r="I45" s="122"/>
      <c r="J45" s="122"/>
    </row>
    <row r="46" spans="1:14" s="5" customFormat="1" ht="14.25" x14ac:dyDescent="0.2">
      <c r="A46" s="130"/>
      <c r="B46" s="123" t="s">
        <v>35</v>
      </c>
      <c r="C46" s="123"/>
      <c r="D46" s="123"/>
      <c r="F46" s="534"/>
      <c r="I46" s="122" t="s">
        <v>270</v>
      </c>
      <c r="J46" s="133"/>
      <c r="K46" s="1028"/>
      <c r="L46" s="1028"/>
    </row>
    <row r="47" spans="1:14" ht="21.75" customHeight="1" x14ac:dyDescent="0.25">
      <c r="A47" s="130"/>
      <c r="B47" s="3"/>
      <c r="C47" s="3"/>
      <c r="D47" s="3"/>
      <c r="E47" s="4"/>
      <c r="F47" s="710" t="s">
        <v>1440</v>
      </c>
    </row>
    <row r="48" spans="1:14" ht="21.75" customHeight="1" x14ac:dyDescent="0.25">
      <c r="A48" s="130"/>
      <c r="B48" s="130"/>
      <c r="C48" s="544"/>
      <c r="D48" s="544"/>
      <c r="E48" s="4"/>
      <c r="F48" s="4"/>
    </row>
  </sheetData>
  <sheetProtection algorithmName="SHA-512" hashValue="sxkTrvkWKtY0q+SCLwEIWBLZ4mpbo0kkr2tIU6mt/2CWN0B5dEUKf0NSwtjja1ZbQfZZfBXbuz77ZRG/exUJRQ==" saltValue="IGZHduqn3fp4tBfVyGQTqw==" spinCount="100000" sheet="1" objects="1" scenarios="1" selectLockedCells="1"/>
  <mergeCells count="27">
    <mergeCell ref="C40:E40"/>
    <mergeCell ref="C41:E41"/>
    <mergeCell ref="A4:D4"/>
    <mergeCell ref="B2:J2"/>
    <mergeCell ref="G4:J4"/>
    <mergeCell ref="G6:J6"/>
    <mergeCell ref="G8:J8"/>
    <mergeCell ref="A8:D8"/>
    <mergeCell ref="A6:D6"/>
    <mergeCell ref="G7:J7"/>
    <mergeCell ref="G9:J9"/>
    <mergeCell ref="K46:L46"/>
    <mergeCell ref="F40:F42"/>
    <mergeCell ref="I39:K42"/>
    <mergeCell ref="A11:M11"/>
    <mergeCell ref="K12:K13"/>
    <mergeCell ref="L12:L13"/>
    <mergeCell ref="M12:M13"/>
    <mergeCell ref="A12:A13"/>
    <mergeCell ref="B12:B13"/>
    <mergeCell ref="F12:F13"/>
    <mergeCell ref="G12:H12"/>
    <mergeCell ref="I12:J12"/>
    <mergeCell ref="C12:E13"/>
    <mergeCell ref="A40:B42"/>
    <mergeCell ref="A43:B43"/>
    <mergeCell ref="C42:E42"/>
  </mergeCells>
  <dataValidations count="7">
    <dataValidation type="list" allowBlank="1" showInputMessage="1" showErrorMessage="1" sqref="G4">
      <formula1>nuurs_turul</formula1>
    </dataValidation>
    <dataValidation type="list" allowBlank="1" showInputMessage="1" showErrorMessage="1" sqref="J27:J38">
      <formula1>curr2</formula1>
    </dataValidation>
    <dataValidation type="list" allowBlank="1" showInputMessage="1" showErrorMessage="1" sqref="F27:F38">
      <formula1>export_uls</formula1>
    </dataValidation>
    <dataValidation type="list" allowBlank="1" showInputMessage="1" showErrorMessage="1" sqref="F14:F25">
      <formula1>borluulalt_dotood</formula1>
    </dataValidation>
    <dataValidation type="decimal" allowBlank="1" showInputMessage="1" showErrorMessage="1" errorTitle="Анхаар" error="Зөвхөн тоо оруулна уу." sqref="L14:L25 L40:L41 H40:H41 H14:I25 K27:L38 H27:I38">
      <formula1>-9.99999999999999E+35</formula1>
      <formula2>9.99999999999999E+36</formula2>
    </dataValidation>
    <dataValidation type="decimal" allowBlank="1" showInputMessage="1" showErrorMessage="1" errorTitle="Анхаар" error="Зөвхөн тоо оруулна уу." sqref="L26 H26">
      <formula1>-9.99999999999999E+33</formula1>
      <formula2>9.99999999999999E+34</formula2>
    </dataValidation>
    <dataValidation type="decimal" allowBlank="1" showInputMessage="1" showErrorMessage="1" sqref="H39 L39">
      <formula1>-9.99999999999999E+35</formula1>
      <formula2>9.99999999999999E+36</formula2>
    </dataValidation>
  </dataValidations>
  <pageMargins left="1.28" right="0.51181102362204722" top="0.74803149606299213" bottom="0.74803149606299213" header="0.31496062992125984" footer="0.31496062992125984"/>
  <pageSetup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4" r:id="rId4" name="Button 4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13</xdr:row>
                    <xdr:rowOff>28575</xdr:rowOff>
                  </from>
                  <to>
                    <xdr:col>2</xdr:col>
                    <xdr:colOff>238125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238125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6" name="Button 6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238125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7" name="Button 7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16</xdr:row>
                    <xdr:rowOff>28575</xdr:rowOff>
                  </from>
                  <to>
                    <xdr:col>2</xdr:col>
                    <xdr:colOff>238125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8" name="Button 8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17</xdr:row>
                    <xdr:rowOff>28575</xdr:rowOff>
                  </from>
                  <to>
                    <xdr:col>2</xdr:col>
                    <xdr:colOff>238125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9" name="Button 9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18</xdr:row>
                    <xdr:rowOff>28575</xdr:rowOff>
                  </from>
                  <to>
                    <xdr:col>2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0" name="Button 10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19</xdr:row>
                    <xdr:rowOff>28575</xdr:rowOff>
                  </from>
                  <to>
                    <xdr:col>2</xdr:col>
                    <xdr:colOff>238125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1" name="Button 11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20</xdr:row>
                    <xdr:rowOff>28575</xdr:rowOff>
                  </from>
                  <to>
                    <xdr:col>2</xdr:col>
                    <xdr:colOff>238125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2" name="Button 12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21</xdr:row>
                    <xdr:rowOff>28575</xdr:rowOff>
                  </from>
                  <to>
                    <xdr:col>2</xdr:col>
                    <xdr:colOff>238125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3" name="Button 13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22</xdr:row>
                    <xdr:rowOff>28575</xdr:rowOff>
                  </from>
                  <to>
                    <xdr:col>2</xdr:col>
                    <xdr:colOff>238125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4" name="Button 14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23</xdr:row>
                    <xdr:rowOff>28575</xdr:rowOff>
                  </from>
                  <to>
                    <xdr:col>2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5" name="Button 15">
              <controlPr defaultSize="0" print="0" autoFill="0" autoPict="0" macro="[0]!coalRep_17_add_row">
                <anchor moveWithCells="1" sizeWithCells="1">
                  <from>
                    <xdr:col>2</xdr:col>
                    <xdr:colOff>47625</xdr:colOff>
                    <xdr:row>24</xdr:row>
                    <xdr:rowOff>28575</xdr:rowOff>
                  </from>
                  <to>
                    <xdr:col>2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6" name="Button 16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26</xdr:row>
                    <xdr:rowOff>28575</xdr:rowOff>
                  </from>
                  <to>
                    <xdr:col>2</xdr:col>
                    <xdr:colOff>238125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7" name="Button 17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27</xdr:row>
                    <xdr:rowOff>28575</xdr:rowOff>
                  </from>
                  <to>
                    <xdr:col>2</xdr:col>
                    <xdr:colOff>238125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8" name="Button 18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28</xdr:row>
                    <xdr:rowOff>28575</xdr:rowOff>
                  </from>
                  <to>
                    <xdr:col>2</xdr:col>
                    <xdr:colOff>238125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9" name="Button 19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29</xdr:row>
                    <xdr:rowOff>28575</xdr:rowOff>
                  </from>
                  <to>
                    <xdr:col>2</xdr:col>
                    <xdr:colOff>238125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0" name="Button 20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30</xdr:row>
                    <xdr:rowOff>28575</xdr:rowOff>
                  </from>
                  <to>
                    <xdr:col>2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1" name="Button 21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31</xdr:row>
                    <xdr:rowOff>28575</xdr:rowOff>
                  </from>
                  <to>
                    <xdr:col>2</xdr:col>
                    <xdr:colOff>238125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2" name="Button 22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32</xdr:row>
                    <xdr:rowOff>28575</xdr:rowOff>
                  </from>
                  <to>
                    <xdr:col>2</xdr:col>
                    <xdr:colOff>238125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3" name="Button 23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33</xdr:row>
                    <xdr:rowOff>28575</xdr:rowOff>
                  </from>
                  <to>
                    <xdr:col>2</xdr:col>
                    <xdr:colOff>238125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4" name="Button 24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34</xdr:row>
                    <xdr:rowOff>28575</xdr:rowOff>
                  </from>
                  <to>
                    <xdr:col>2</xdr:col>
                    <xdr:colOff>238125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5" name="Button 25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35</xdr:row>
                    <xdr:rowOff>28575</xdr:rowOff>
                  </from>
                  <to>
                    <xdr:col>2</xdr:col>
                    <xdr:colOff>238125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6" name="Button 26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36</xdr:row>
                    <xdr:rowOff>28575</xdr:rowOff>
                  </from>
                  <to>
                    <xdr:col>2</xdr:col>
                    <xdr:colOff>238125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7" name="Button 27">
              <controlPr defaultSize="0" print="0" autoFill="0" autoPict="0" macro="[0]!coalRep_17_add_row2">
                <anchor moveWithCells="1" sizeWithCells="1">
                  <from>
                    <xdr:col>2</xdr:col>
                    <xdr:colOff>47625</xdr:colOff>
                    <xdr:row>37</xdr:row>
                    <xdr:rowOff>28575</xdr:rowOff>
                  </from>
                  <to>
                    <xdr:col>2</xdr:col>
                    <xdr:colOff>238125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28" name="Button 31">
              <controlPr defaultSize="0" print="0" autoFill="0" autoPict="0" macro="[0]!coalRep_17_add_rowSu">
                <anchor moveWithCells="1" sizeWithCells="1">
                  <from>
                    <xdr:col>2</xdr:col>
                    <xdr:colOff>47625</xdr:colOff>
                    <xdr:row>25</xdr:row>
                    <xdr:rowOff>28575</xdr:rowOff>
                  </from>
                  <to>
                    <xdr:col>2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29" name="Button 32">
              <controlPr defaultSize="0" print="0" autoFill="0" autoPict="0" macro="[0]!coalRep_17_add_rowSu">
                <anchor moveWithCells="1" sizeWithCells="1">
                  <from>
                    <xdr:col>2</xdr:col>
                    <xdr:colOff>47625</xdr:colOff>
                    <xdr:row>38</xdr:row>
                    <xdr:rowOff>28575</xdr:rowOff>
                  </from>
                  <to>
                    <xdr:col>2</xdr:col>
                    <xdr:colOff>238125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7"/>
  <sheetViews>
    <sheetView showGridLines="0" workbookViewId="0">
      <selection activeCell="B1" sqref="B1:I1"/>
    </sheetView>
  </sheetViews>
  <sheetFormatPr defaultRowHeight="15" x14ac:dyDescent="0.25"/>
  <cols>
    <col min="2" max="2" width="15.5703125" customWidth="1"/>
    <col min="3" max="3" width="4.7109375" customWidth="1"/>
    <col min="4" max="4" width="5.85546875" customWidth="1"/>
    <col min="5" max="5" width="18.42578125" customWidth="1"/>
    <col min="6" max="6" width="18.7109375" customWidth="1"/>
    <col min="7" max="7" width="18.5703125" customWidth="1"/>
    <col min="8" max="8" width="19" customWidth="1"/>
    <col min="10" max="10" width="36.28515625" customWidth="1"/>
  </cols>
  <sheetData>
    <row r="1" spans="1:17" s="117" customFormat="1" ht="99" customHeight="1" x14ac:dyDescent="0.2">
      <c r="B1" s="1072" t="s">
        <v>1396</v>
      </c>
      <c r="C1" s="1072"/>
      <c r="D1" s="1072"/>
      <c r="E1" s="1072"/>
      <c r="F1" s="1072"/>
      <c r="G1" s="1072"/>
      <c r="H1" s="1072"/>
      <c r="I1" s="1072"/>
      <c r="J1" s="126" t="s">
        <v>1447</v>
      </c>
      <c r="K1" s="42"/>
      <c r="L1" s="42"/>
      <c r="M1" s="42"/>
      <c r="N1" s="42"/>
      <c r="O1" s="42"/>
      <c r="P1" s="42"/>
      <c r="Q1" s="42"/>
    </row>
    <row r="2" spans="1:17" x14ac:dyDescent="0.25">
      <c r="A2" s="17"/>
      <c r="B2" s="3"/>
      <c r="C2" s="3"/>
      <c r="D2" s="3"/>
      <c r="E2" s="4"/>
      <c r="F2" s="4"/>
      <c r="G2" s="623">
        <f ca="1">H13</f>
        <v>0</v>
      </c>
      <c r="H2" s="623">
        <f ca="1">H15</f>
        <v>0</v>
      </c>
      <c r="I2" s="623">
        <f ca="1">H18</f>
        <v>0</v>
      </c>
      <c r="J2" s="623">
        <f ca="1">H19</f>
        <v>0</v>
      </c>
    </row>
    <row r="3" spans="1:17" x14ac:dyDescent="0.25">
      <c r="A3" s="386" t="s">
        <v>1157</v>
      </c>
      <c r="B3" s="386"/>
      <c r="C3" s="1086"/>
      <c r="D3" s="1086"/>
      <c r="E3" s="1086"/>
      <c r="F3" s="4"/>
      <c r="G3" s="512" t="s">
        <v>274</v>
      </c>
      <c r="H3" s="512"/>
      <c r="I3" s="512"/>
      <c r="J3" s="512"/>
    </row>
    <row r="4" spans="1:17" x14ac:dyDescent="0.25">
      <c r="A4" s="386"/>
      <c r="B4" s="386"/>
      <c r="C4" s="1065" t="s">
        <v>1430</v>
      </c>
      <c r="D4" s="1065"/>
      <c r="E4" s="1065"/>
      <c r="F4" s="4"/>
      <c r="G4" s="512"/>
      <c r="H4" s="623" t="s">
        <v>1431</v>
      </c>
      <c r="I4" s="512"/>
      <c r="J4" s="512"/>
    </row>
    <row r="5" spans="1:17" x14ac:dyDescent="0.25">
      <c r="A5" s="386" t="s">
        <v>1158</v>
      </c>
      <c r="B5" s="386"/>
      <c r="C5" s="1086"/>
      <c r="D5" s="1086"/>
      <c r="E5" s="1086"/>
      <c r="F5" s="4"/>
      <c r="G5" s="512"/>
      <c r="H5" s="512"/>
      <c r="I5" s="512"/>
      <c r="J5" s="512"/>
    </row>
    <row r="6" spans="1:17" x14ac:dyDescent="0.25">
      <c r="A6" s="5"/>
      <c r="B6" s="5"/>
      <c r="C6" s="1087" t="s">
        <v>1429</v>
      </c>
      <c r="D6" s="1087"/>
      <c r="E6" s="1087"/>
      <c r="F6" s="5"/>
      <c r="G6" s="620"/>
      <c r="H6" s="620"/>
      <c r="I6" s="620"/>
      <c r="J6" s="620"/>
    </row>
    <row r="7" spans="1:17" x14ac:dyDescent="0.25">
      <c r="A7" s="5"/>
      <c r="B7" s="5"/>
      <c r="C7" s="5"/>
      <c r="D7" s="5"/>
      <c r="E7" s="5"/>
      <c r="F7" s="5"/>
      <c r="G7" s="623">
        <v>14</v>
      </c>
      <c r="H7" s="623">
        <v>17</v>
      </c>
      <c r="I7" s="621">
        <v>0</v>
      </c>
      <c r="J7" s="621"/>
    </row>
    <row r="8" spans="1:17" ht="33.75" customHeight="1" x14ac:dyDescent="0.25">
      <c r="A8" s="1073" t="s">
        <v>1398</v>
      </c>
      <c r="B8" s="1073"/>
      <c r="C8" s="1073"/>
      <c r="D8" s="1073"/>
      <c r="E8" s="1073"/>
      <c r="F8" s="1073"/>
      <c r="G8" s="1073"/>
      <c r="H8" s="1073"/>
      <c r="I8" s="1073"/>
      <c r="J8" s="1073"/>
    </row>
    <row r="9" spans="1:17" x14ac:dyDescent="0.25">
      <c r="A9" s="1074" t="s">
        <v>2</v>
      </c>
      <c r="B9" s="1076" t="s">
        <v>1399</v>
      </c>
      <c r="C9" s="1077"/>
      <c r="D9" s="1077"/>
      <c r="E9" s="1077"/>
      <c r="F9" s="1077"/>
      <c r="G9" s="1078"/>
      <c r="H9" s="1082" t="s">
        <v>1238</v>
      </c>
      <c r="I9" s="1083"/>
      <c r="J9" s="1084" t="s">
        <v>3</v>
      </c>
    </row>
    <row r="10" spans="1:17" x14ac:dyDescent="0.25">
      <c r="A10" s="1075"/>
      <c r="B10" s="1079"/>
      <c r="C10" s="1080"/>
      <c r="D10" s="1080"/>
      <c r="E10" s="1080"/>
      <c r="F10" s="1080"/>
      <c r="G10" s="1081"/>
      <c r="H10" s="520" t="s">
        <v>7</v>
      </c>
      <c r="I10" s="520" t="s">
        <v>98</v>
      </c>
      <c r="J10" s="1085"/>
      <c r="O10" s="622"/>
    </row>
    <row r="11" spans="1:17" x14ac:dyDescent="0.25">
      <c r="A11" s="521">
        <v>1</v>
      </c>
      <c r="B11" s="522">
        <v>2</v>
      </c>
      <c r="C11" s="522">
        <v>3</v>
      </c>
      <c r="D11" s="522">
        <v>4</v>
      </c>
      <c r="E11" s="522">
        <v>5</v>
      </c>
      <c r="F11" s="522">
        <v>6</v>
      </c>
      <c r="G11" s="522">
        <v>7</v>
      </c>
      <c r="H11" s="522">
        <v>8</v>
      </c>
      <c r="I11" s="522">
        <v>9</v>
      </c>
      <c r="J11" s="522">
        <v>10</v>
      </c>
    </row>
    <row r="12" spans="1:17" ht="30" customHeight="1" x14ac:dyDescent="0.25">
      <c r="A12" s="637">
        <v>1</v>
      </c>
      <c r="B12" s="636" t="s">
        <v>1401</v>
      </c>
      <c r="C12" s="283"/>
      <c r="D12" s="635">
        <v>1</v>
      </c>
      <c r="E12" s="813"/>
      <c r="F12" s="813"/>
      <c r="G12" s="624"/>
      <c r="H12" s="618"/>
      <c r="I12" s="628" t="str">
        <f t="shared" ref="I12:I18" ca="1" si="0">IFERROR($H12/$J$2,"- - -")</f>
        <v>- - -</v>
      </c>
      <c r="J12" s="266"/>
      <c r="K12" s="614"/>
    </row>
    <row r="13" spans="1:17" ht="30" customHeight="1" x14ac:dyDescent="0.25">
      <c r="A13" s="605"/>
      <c r="B13" s="1058" t="s">
        <v>1423</v>
      </c>
      <c r="C13" s="1059"/>
      <c r="D13" s="791">
        <v>1</v>
      </c>
      <c r="E13" s="792"/>
      <c r="F13" s="792"/>
      <c r="G13" s="793"/>
      <c r="H13" s="794">
        <f ca="1">SUM(INDIRECT("$H$12:$H"&amp;ROW()-1))</f>
        <v>0</v>
      </c>
      <c r="I13" s="795" t="str">
        <f t="shared" ca="1" si="0"/>
        <v>- - -</v>
      </c>
      <c r="J13" s="266"/>
      <c r="K13" s="614"/>
    </row>
    <row r="14" spans="1:17" ht="30" customHeight="1" x14ac:dyDescent="0.25">
      <c r="A14" s="525"/>
      <c r="B14" s="286" t="s">
        <v>1402</v>
      </c>
      <c r="C14" s="286"/>
      <c r="D14" s="635">
        <v>1</v>
      </c>
      <c r="E14" s="625"/>
      <c r="F14" s="625"/>
      <c r="G14" s="626"/>
      <c r="H14" s="618"/>
      <c r="I14" s="628" t="str">
        <f t="shared" ca="1" si="0"/>
        <v>- - -</v>
      </c>
      <c r="J14" s="266"/>
      <c r="K14" s="614"/>
    </row>
    <row r="15" spans="1:17" ht="30" customHeight="1" x14ac:dyDescent="0.25">
      <c r="A15" s="593"/>
      <c r="B15" s="1058" t="s">
        <v>1424</v>
      </c>
      <c r="C15" s="1059"/>
      <c r="D15" s="796">
        <v>1</v>
      </c>
      <c r="E15" s="797"/>
      <c r="F15" s="797"/>
      <c r="G15" s="798"/>
      <c r="H15" s="794">
        <f ca="1">SUM(INDIRECT("$H"&amp;$G$7&amp;":$H"&amp;ROW()-1))</f>
        <v>0</v>
      </c>
      <c r="I15" s="795" t="str">
        <f t="shared" ca="1" si="0"/>
        <v>- - -</v>
      </c>
      <c r="J15" s="266"/>
      <c r="K15" s="614"/>
    </row>
    <row r="16" spans="1:17" ht="15" customHeight="1" x14ac:dyDescent="0.25">
      <c r="A16" s="613"/>
      <c r="B16" s="799" t="s">
        <v>82</v>
      </c>
      <c r="C16" s="800"/>
      <c r="D16" s="791">
        <v>1</v>
      </c>
      <c r="E16" s="1060" t="s">
        <v>1426</v>
      </c>
      <c r="F16" s="1060"/>
      <c r="G16" s="1061"/>
      <c r="H16" s="801">
        <f ca="1">SUM($G$2,$H$2)</f>
        <v>0</v>
      </c>
      <c r="I16" s="802" t="str">
        <f t="shared" ca="1" si="0"/>
        <v>- - -</v>
      </c>
      <c r="J16" s="266"/>
      <c r="K16" s="614"/>
    </row>
    <row r="17" spans="1:11" ht="15" customHeight="1" x14ac:dyDescent="0.25">
      <c r="A17" s="523">
        <v>2</v>
      </c>
      <c r="B17" s="286" t="s">
        <v>1400</v>
      </c>
      <c r="C17" s="283"/>
      <c r="D17" s="282">
        <v>1</v>
      </c>
      <c r="E17" s="1062"/>
      <c r="F17" s="1063"/>
      <c r="G17" s="627"/>
      <c r="H17" s="619"/>
      <c r="I17" s="628" t="str">
        <f t="shared" ca="1" si="0"/>
        <v>- - -</v>
      </c>
      <c r="J17" s="524"/>
      <c r="K17" s="614"/>
    </row>
    <row r="18" spans="1:11" ht="15" customHeight="1" x14ac:dyDescent="0.25">
      <c r="A18" s="523"/>
      <c r="B18" s="616"/>
      <c r="C18" s="615"/>
      <c r="D18" s="796">
        <v>1</v>
      </c>
      <c r="E18" s="792"/>
      <c r="F18" s="803" t="s">
        <v>1425</v>
      </c>
      <c r="G18" s="793"/>
      <c r="H18" s="801">
        <f ca="1">SUM(INDIRECT("$H"&amp;$H$7&amp;":$H"&amp;ROW()-1))</f>
        <v>0</v>
      </c>
      <c r="I18" s="802" t="str">
        <f t="shared" ca="1" si="0"/>
        <v>- - -</v>
      </c>
      <c r="J18" s="266"/>
      <c r="K18" s="614"/>
    </row>
    <row r="19" spans="1:11" ht="20.25" customHeight="1" x14ac:dyDescent="0.25">
      <c r="A19" s="1068"/>
      <c r="B19" s="1069"/>
      <c r="C19" s="1069"/>
      <c r="D19" s="617">
        <v>1</v>
      </c>
      <c r="E19" s="1070" t="s">
        <v>1231</v>
      </c>
      <c r="F19" s="1070"/>
      <c r="G19" s="1071"/>
      <c r="H19" s="629">
        <f ca="1">SUM($G$2,$H$2,I2)</f>
        <v>0</v>
      </c>
      <c r="I19" s="630">
        <v>1</v>
      </c>
      <c r="J19" s="604"/>
      <c r="K19" s="614"/>
    </row>
    <row r="20" spans="1:11" x14ac:dyDescent="0.25">
      <c r="A20" s="27"/>
      <c r="B20" s="27"/>
      <c r="C20" s="27"/>
      <c r="D20" s="526"/>
    </row>
    <row r="21" spans="1:11" x14ac:dyDescent="0.25">
      <c r="A21" s="27"/>
      <c r="B21" s="27"/>
      <c r="C21" s="27"/>
      <c r="D21" s="526"/>
    </row>
    <row r="22" spans="1:11" x14ac:dyDescent="0.25">
      <c r="A22" s="527" t="s">
        <v>1159</v>
      </c>
      <c r="B22" s="527"/>
      <c r="C22" s="633"/>
      <c r="D22" s="634"/>
      <c r="E22" s="4"/>
      <c r="F22" s="4"/>
      <c r="G22" s="528" t="s">
        <v>34</v>
      </c>
      <c r="H22" s="3"/>
      <c r="J22" s="95"/>
    </row>
    <row r="23" spans="1:11" x14ac:dyDescent="0.25">
      <c r="A23" s="634"/>
      <c r="B23" s="634"/>
      <c r="C23" s="633"/>
      <c r="D23" s="634"/>
      <c r="E23" s="4"/>
      <c r="F23" s="4"/>
      <c r="G23" s="4"/>
      <c r="H23" s="3"/>
      <c r="J23" s="95"/>
    </row>
    <row r="24" spans="1:11" x14ac:dyDescent="0.25">
      <c r="A24" s="633"/>
      <c r="B24" s="3" t="s">
        <v>35</v>
      </c>
      <c r="C24" s="1064"/>
      <c r="D24" s="1064"/>
      <c r="E24" s="1064"/>
      <c r="F24" s="4"/>
      <c r="G24" s="4" t="s">
        <v>36</v>
      </c>
      <c r="H24" s="3"/>
      <c r="J24" s="529"/>
    </row>
    <row r="25" spans="1:11" x14ac:dyDescent="0.25">
      <c r="A25" s="633"/>
      <c r="B25" s="3"/>
      <c r="C25" s="1065" t="s">
        <v>1440</v>
      </c>
      <c r="D25" s="1065"/>
      <c r="E25" s="1065"/>
      <c r="F25" s="4"/>
      <c r="G25" s="4"/>
      <c r="H25" s="3"/>
      <c r="J25" s="95"/>
    </row>
    <row r="26" spans="1:11" x14ac:dyDescent="0.25">
      <c r="A26" s="633"/>
      <c r="B26" s="633" t="s">
        <v>1395</v>
      </c>
      <c r="C26" s="1066"/>
      <c r="D26" s="1066"/>
      <c r="E26" s="1066"/>
      <c r="F26" s="4"/>
      <c r="G26" s="4"/>
      <c r="H26" s="3"/>
      <c r="I26" s="4"/>
    </row>
    <row r="27" spans="1:11" x14ac:dyDescent="0.25">
      <c r="C27" s="1067" t="s">
        <v>1441</v>
      </c>
      <c r="D27" s="1067"/>
      <c r="E27" s="1067"/>
    </row>
  </sheetData>
  <sheetProtection selectLockedCells="1"/>
  <mergeCells count="21">
    <mergeCell ref="B1:I1"/>
    <mergeCell ref="A8:J8"/>
    <mergeCell ref="A9:A10"/>
    <mergeCell ref="B9:G10"/>
    <mergeCell ref="H9:I9"/>
    <mergeCell ref="J9:J10"/>
    <mergeCell ref="C3:E3"/>
    <mergeCell ref="C4:E4"/>
    <mergeCell ref="C5:E5"/>
    <mergeCell ref="C6:E6"/>
    <mergeCell ref="C24:E24"/>
    <mergeCell ref="C25:E25"/>
    <mergeCell ref="C26:E26"/>
    <mergeCell ref="C27:E27"/>
    <mergeCell ref="A19:C19"/>
    <mergeCell ref="E19:G19"/>
    <mergeCell ref="E12:F12"/>
    <mergeCell ref="B13:C13"/>
    <mergeCell ref="B15:C15"/>
    <mergeCell ref="E16:G16"/>
    <mergeCell ref="E17:F17"/>
  </mergeCells>
  <dataValidations count="5">
    <dataValidation type="list" allowBlank="1" showInputMessage="1" showErrorMessage="1" sqref="E14">
      <formula1>borluulalt_uls</formula1>
    </dataValidation>
    <dataValidation type="list" allowBlank="1" showInputMessage="1" showErrorMessage="1" sqref="F14">
      <formula1>zzasag_gadaad</formula1>
    </dataValidation>
    <dataValidation type="list" allowBlank="1" showInputMessage="1" showErrorMessage="1" sqref="E12:F12">
      <formula1>zasag_bus</formula1>
    </dataValidation>
    <dataValidation type="list" allowBlank="1" showInputMessage="1" showErrorMessage="1" sqref="E17:F17">
      <formula1>zasag</formula1>
    </dataValidation>
    <dataValidation type="decimal" allowBlank="1" showInputMessage="1" showErrorMessage="1" errorTitle="Анхаар" error="Зөвхөн тоо оруулна уу." sqref="H12 H14 H17">
      <formula1>-9.99999999999999E+34</formula1>
      <formula2>9.99999999999999E+35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coalRep18_add_main_row">
                <anchor moveWithCells="1" sizeWithCells="1">
                  <from>
                    <xdr:col>2</xdr:col>
                    <xdr:colOff>57150</xdr:colOff>
                    <xdr:row>16</xdr:row>
                    <xdr:rowOff>38100</xdr:rowOff>
                  </from>
                  <to>
                    <xdr:col>2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coalRep18_add_main_row3">
                <anchor moveWithCells="1" sizeWithCells="1">
                  <from>
                    <xdr:col>2</xdr:col>
                    <xdr:colOff>57150</xdr:colOff>
                    <xdr:row>11</xdr:row>
                    <xdr:rowOff>95250</xdr:rowOff>
                  </from>
                  <to>
                    <xdr:col>2</xdr:col>
                    <xdr:colOff>247650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coalRep18_add_main_row4">
                <anchor moveWithCells="1" sizeWithCells="1">
                  <from>
                    <xdr:col>2</xdr:col>
                    <xdr:colOff>57150</xdr:colOff>
                    <xdr:row>13</xdr:row>
                    <xdr:rowOff>95250</xdr:rowOff>
                  </from>
                  <to>
                    <xdr:col>2</xdr:col>
                    <xdr:colOff>247650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0"/>
  <sheetViews>
    <sheetView showGridLines="0" zoomScaleNormal="100" workbookViewId="0">
      <selection activeCell="D16" sqref="D16"/>
    </sheetView>
  </sheetViews>
  <sheetFormatPr defaultColWidth="9.140625" defaultRowHeight="21" customHeight="1" x14ac:dyDescent="0.25"/>
  <cols>
    <col min="1" max="1" width="7.42578125" style="30" customWidth="1"/>
    <col min="2" max="2" width="27.5703125" style="30" customWidth="1"/>
    <col min="3" max="3" width="8" style="30" bestFit="1" customWidth="1"/>
    <col min="4" max="4" width="18.28515625" style="30" customWidth="1"/>
    <col min="5" max="12" width="17.85546875" style="30" customWidth="1"/>
    <col min="13" max="13" width="23.42578125" style="30" customWidth="1"/>
    <col min="14" max="16384" width="9.140625" style="30"/>
  </cols>
  <sheetData>
    <row r="1" spans="1:15" s="63" customFormat="1" ht="24" customHeight="1" x14ac:dyDescent="0.2">
      <c r="B1" s="1095" t="s">
        <v>292</v>
      </c>
      <c r="C1" s="1095"/>
      <c r="D1" s="1095"/>
      <c r="E1" s="1095"/>
      <c r="F1" s="1095"/>
      <c r="G1" s="1095"/>
      <c r="H1" s="1095"/>
      <c r="I1" s="1095"/>
      <c r="J1" s="67"/>
      <c r="K1" s="67"/>
      <c r="L1" s="1099" t="s">
        <v>1448</v>
      </c>
      <c r="M1" s="1099"/>
      <c r="N1" s="67"/>
    </row>
    <row r="2" spans="1:15" s="63" customFormat="1" ht="14.45" customHeight="1" x14ac:dyDescent="0.2">
      <c r="B2" s="1095"/>
      <c r="C2" s="1095"/>
      <c r="D2" s="1095"/>
      <c r="E2" s="1095"/>
      <c r="F2" s="1095"/>
      <c r="G2" s="1095"/>
      <c r="H2" s="1095"/>
      <c r="I2" s="1095"/>
      <c r="J2" s="67"/>
      <c r="K2" s="67"/>
      <c r="L2" s="67"/>
      <c r="M2" s="67"/>
      <c r="N2" s="67"/>
      <c r="O2" s="75"/>
    </row>
    <row r="3" spans="1:15" s="63" customFormat="1" ht="14.45" customHeight="1" x14ac:dyDescent="0.2">
      <c r="B3" s="1095"/>
      <c r="C3" s="1095"/>
      <c r="D3" s="1095"/>
      <c r="E3" s="1095"/>
      <c r="F3" s="1095"/>
      <c r="G3" s="1095"/>
      <c r="H3" s="1095"/>
      <c r="I3" s="1095"/>
      <c r="J3" s="67"/>
      <c r="K3" s="67"/>
      <c r="L3" s="67"/>
      <c r="M3" s="67"/>
      <c r="N3" s="67"/>
      <c r="O3" s="75"/>
    </row>
    <row r="4" spans="1:15" s="63" customFormat="1" ht="27" customHeight="1" x14ac:dyDescent="0.2">
      <c r="B4" s="70" t="s">
        <v>232</v>
      </c>
      <c r="C4" s="70"/>
      <c r="D4" s="70"/>
      <c r="E4" s="70"/>
      <c r="F4" s="70"/>
      <c r="G4" s="67"/>
      <c r="H4" s="67"/>
      <c r="I4" s="67"/>
      <c r="J4" s="67"/>
      <c r="K4" s="67"/>
      <c r="L4" s="1096"/>
      <c r="M4" s="1096"/>
      <c r="N4" s="1096"/>
      <c r="O4" s="1096"/>
    </row>
    <row r="5" spans="1:15" s="63" customFormat="1" ht="16.5" customHeight="1" x14ac:dyDescent="0.2">
      <c r="B5" s="111" t="s">
        <v>287</v>
      </c>
      <c r="C5" s="71"/>
      <c r="D5" s="703"/>
      <c r="E5" s="699"/>
      <c r="F5" s="69"/>
      <c r="G5" s="69"/>
      <c r="H5" s="69"/>
      <c r="I5" s="1097"/>
      <c r="J5" s="1097"/>
      <c r="M5" s="72"/>
      <c r="N5" s="72"/>
      <c r="O5" s="72"/>
    </row>
    <row r="6" spans="1:15" s="63" customFormat="1" ht="9.75" customHeight="1" x14ac:dyDescent="0.2">
      <c r="B6" s="111"/>
      <c r="C6" s="100"/>
      <c r="D6" s="703"/>
      <c r="E6" s="699"/>
      <c r="F6" s="102"/>
      <c r="G6" s="102"/>
      <c r="H6" s="102"/>
      <c r="I6" s="846" t="s">
        <v>1429</v>
      </c>
      <c r="J6" s="846"/>
      <c r="M6" s="99"/>
      <c r="N6" s="99"/>
      <c r="O6" s="99"/>
    </row>
    <row r="7" spans="1:15" s="63" customFormat="1" ht="16.5" customHeight="1" x14ac:dyDescent="0.2">
      <c r="B7" s="71" t="s">
        <v>248</v>
      </c>
      <c r="C7" s="69"/>
      <c r="D7" s="699"/>
      <c r="E7" s="699"/>
      <c r="F7" s="69"/>
      <c r="G7" s="69"/>
      <c r="H7" s="69"/>
      <c r="I7" s="1097"/>
      <c r="J7" s="1097"/>
      <c r="M7" s="67"/>
      <c r="N7" s="67"/>
      <c r="O7" s="67"/>
    </row>
    <row r="8" spans="1:15" s="63" customFormat="1" ht="7.5" customHeight="1" x14ac:dyDescent="0.2">
      <c r="B8" s="100"/>
      <c r="C8" s="102"/>
      <c r="D8" s="699"/>
      <c r="E8" s="699"/>
      <c r="F8" s="102"/>
      <c r="G8" s="102"/>
      <c r="H8" s="102"/>
      <c r="I8" s="846" t="s">
        <v>1430</v>
      </c>
      <c r="J8" s="846"/>
      <c r="M8" s="67"/>
      <c r="N8" s="67"/>
      <c r="O8" s="67"/>
    </row>
    <row r="9" spans="1:15" s="63" customFormat="1" ht="16.5" customHeight="1" x14ac:dyDescent="0.2">
      <c r="A9" s="1008" t="s">
        <v>286</v>
      </c>
      <c r="B9" s="1098"/>
      <c r="D9" s="64"/>
      <c r="E9" s="67"/>
      <c r="F9" s="67"/>
      <c r="G9" s="67"/>
      <c r="H9" s="67"/>
      <c r="I9" s="1097"/>
      <c r="J9" s="1097"/>
      <c r="K9" s="65"/>
      <c r="L9" s="67"/>
      <c r="M9" s="67"/>
      <c r="N9" s="67"/>
      <c r="O9" s="67"/>
    </row>
    <row r="10" spans="1:15" s="63" customFormat="1" ht="5.25" customHeight="1" x14ac:dyDescent="0.2">
      <c r="A10" s="111"/>
      <c r="B10" s="100"/>
      <c r="D10" s="64"/>
      <c r="E10" s="67"/>
      <c r="F10" s="67"/>
      <c r="G10" s="67"/>
      <c r="H10" s="67"/>
      <c r="I10" s="846" t="s">
        <v>1431</v>
      </c>
      <c r="J10" s="846"/>
      <c r="K10" s="65"/>
      <c r="L10" s="67"/>
      <c r="M10" s="67"/>
      <c r="N10" s="67"/>
      <c r="O10" s="67"/>
    </row>
    <row r="11" spans="1:15" s="63" customFormat="1" ht="14.45" customHeight="1" x14ac:dyDescent="0.2">
      <c r="A11" s="111"/>
      <c r="B11" s="92"/>
      <c r="D11" s="64"/>
      <c r="E11" s="67"/>
      <c r="F11" s="67"/>
      <c r="G11" s="67"/>
      <c r="H11" s="67"/>
      <c r="I11" s="65"/>
      <c r="J11" s="65"/>
      <c r="K11" s="65"/>
      <c r="L11" s="67"/>
      <c r="M11" s="67"/>
      <c r="N11" s="67"/>
      <c r="O11" s="67"/>
    </row>
    <row r="12" spans="1:15" ht="23.1" customHeight="1" x14ac:dyDescent="0.25">
      <c r="A12" s="1089" t="s">
        <v>99</v>
      </c>
      <c r="B12" s="1089"/>
      <c r="C12" s="1089"/>
      <c r="D12" s="1089"/>
      <c r="E12" s="1089"/>
      <c r="F12" s="1089"/>
      <c r="G12" s="1089"/>
      <c r="H12" s="1089"/>
      <c r="I12" s="1089"/>
      <c r="J12" s="1089"/>
      <c r="K12" s="1089"/>
      <c r="L12" s="1089"/>
      <c r="M12" s="1089"/>
    </row>
    <row r="13" spans="1:15" ht="19.5" customHeight="1" x14ac:dyDescent="0.25">
      <c r="A13" s="1090" t="s">
        <v>2</v>
      </c>
      <c r="B13" s="1091" t="s">
        <v>100</v>
      </c>
      <c r="C13" s="1091" t="s">
        <v>4</v>
      </c>
      <c r="D13" s="1091" t="s">
        <v>101</v>
      </c>
      <c r="E13" s="1092" t="s">
        <v>102</v>
      </c>
      <c r="F13" s="1093"/>
      <c r="G13" s="1093"/>
      <c r="H13" s="1093"/>
      <c r="I13" s="1093"/>
      <c r="J13" s="1093"/>
      <c r="K13" s="1093"/>
      <c r="L13" s="1093"/>
      <c r="M13" s="1094"/>
    </row>
    <row r="14" spans="1:15" ht="32.25" customHeight="1" x14ac:dyDescent="0.25">
      <c r="A14" s="1090"/>
      <c r="B14" s="1091"/>
      <c r="C14" s="1091"/>
      <c r="D14" s="1091"/>
      <c r="E14" s="609" t="s">
        <v>103</v>
      </c>
      <c r="F14" s="609" t="s">
        <v>104</v>
      </c>
      <c r="G14" s="609" t="s">
        <v>78</v>
      </c>
      <c r="H14" s="609" t="s">
        <v>105</v>
      </c>
      <c r="I14" s="610" t="s">
        <v>278</v>
      </c>
      <c r="J14" s="609" t="s">
        <v>106</v>
      </c>
      <c r="K14" s="609" t="s">
        <v>107</v>
      </c>
      <c r="L14" s="609" t="s">
        <v>108</v>
      </c>
      <c r="M14" s="609" t="s">
        <v>3</v>
      </c>
    </row>
    <row r="15" spans="1:15" ht="15" customHeight="1" x14ac:dyDescent="0.25">
      <c r="A15" s="91">
        <v>1</v>
      </c>
      <c r="B15" s="32" t="s">
        <v>109</v>
      </c>
      <c r="C15" s="33" t="s">
        <v>7</v>
      </c>
      <c r="D15" s="40">
        <f>SUM(D16:D25)</f>
        <v>0</v>
      </c>
      <c r="E15" s="40">
        <f>SUM(E16:E25)</f>
        <v>0</v>
      </c>
      <c r="F15" s="40">
        <f t="shared" ref="F15:L15" si="0">SUM(F16:F25)</f>
        <v>0</v>
      </c>
      <c r="G15" s="40">
        <f t="shared" si="0"/>
        <v>0</v>
      </c>
      <c r="H15" s="40">
        <f t="shared" si="0"/>
        <v>0</v>
      </c>
      <c r="I15" s="40">
        <f t="shared" si="0"/>
        <v>0</v>
      </c>
      <c r="J15" s="40">
        <f t="shared" si="0"/>
        <v>0</v>
      </c>
      <c r="K15" s="40">
        <f t="shared" si="0"/>
        <v>0</v>
      </c>
      <c r="L15" s="40">
        <f t="shared" si="0"/>
        <v>0</v>
      </c>
      <c r="M15" s="769"/>
    </row>
    <row r="16" spans="1:15" ht="15" customHeight="1" x14ac:dyDescent="0.25">
      <c r="A16" s="59">
        <v>1.1000000000000001</v>
      </c>
      <c r="B16" s="611" t="s">
        <v>110</v>
      </c>
      <c r="C16" s="31" t="s">
        <v>7</v>
      </c>
      <c r="D16" s="607"/>
      <c r="E16" s="607"/>
      <c r="F16" s="607"/>
      <c r="G16" s="607"/>
      <c r="H16" s="607"/>
      <c r="I16" s="607"/>
      <c r="J16" s="607"/>
      <c r="K16" s="607"/>
      <c r="L16" s="608"/>
      <c r="M16" s="606"/>
    </row>
    <row r="17" spans="1:13" ht="15" customHeight="1" x14ac:dyDescent="0.25">
      <c r="A17" s="109" t="s">
        <v>111</v>
      </c>
      <c r="B17" s="612" t="s">
        <v>112</v>
      </c>
      <c r="C17" s="31" t="s">
        <v>7</v>
      </c>
      <c r="D17" s="607"/>
      <c r="E17" s="607"/>
      <c r="F17" s="607"/>
      <c r="G17" s="607"/>
      <c r="H17" s="607"/>
      <c r="I17" s="607"/>
      <c r="J17" s="607"/>
      <c r="K17" s="607"/>
      <c r="L17" s="608"/>
      <c r="M17" s="606"/>
    </row>
    <row r="18" spans="1:13" ht="15" customHeight="1" x14ac:dyDescent="0.25">
      <c r="A18" s="110" t="s">
        <v>113</v>
      </c>
      <c r="B18" s="612" t="s">
        <v>114</v>
      </c>
      <c r="C18" s="31" t="s">
        <v>7</v>
      </c>
      <c r="D18" s="607"/>
      <c r="E18" s="607"/>
      <c r="F18" s="607"/>
      <c r="G18" s="607"/>
      <c r="H18" s="607"/>
      <c r="I18" s="607"/>
      <c r="J18" s="607"/>
      <c r="K18" s="607"/>
      <c r="L18" s="608"/>
      <c r="M18" s="606"/>
    </row>
    <row r="19" spans="1:13" ht="15" customHeight="1" x14ac:dyDescent="0.25">
      <c r="A19" s="109" t="s">
        <v>115</v>
      </c>
      <c r="B19" s="612" t="s">
        <v>116</v>
      </c>
      <c r="C19" s="31" t="s">
        <v>7</v>
      </c>
      <c r="D19" s="607"/>
      <c r="E19" s="607"/>
      <c r="F19" s="607"/>
      <c r="G19" s="607"/>
      <c r="H19" s="607"/>
      <c r="I19" s="607"/>
      <c r="J19" s="607"/>
      <c r="K19" s="607"/>
      <c r="L19" s="608"/>
      <c r="M19" s="606"/>
    </row>
    <row r="20" spans="1:13" ht="15" customHeight="1" x14ac:dyDescent="0.25">
      <c r="A20" s="110" t="s">
        <v>117</v>
      </c>
      <c r="B20" s="612" t="s">
        <v>9</v>
      </c>
      <c r="C20" s="31" t="s">
        <v>7</v>
      </c>
      <c r="D20" s="607"/>
      <c r="E20" s="607"/>
      <c r="F20" s="607"/>
      <c r="G20" s="607"/>
      <c r="H20" s="607"/>
      <c r="I20" s="607"/>
      <c r="J20" s="607"/>
      <c r="K20" s="607"/>
      <c r="L20" s="608"/>
      <c r="M20" s="606"/>
    </row>
    <row r="21" spans="1:13" ht="15" customHeight="1" x14ac:dyDescent="0.25">
      <c r="A21" s="59">
        <v>1.2</v>
      </c>
      <c r="B21" s="611" t="s">
        <v>118</v>
      </c>
      <c r="C21" s="31" t="s">
        <v>7</v>
      </c>
      <c r="D21" s="607"/>
      <c r="E21" s="607"/>
      <c r="F21" s="607"/>
      <c r="G21" s="607"/>
      <c r="H21" s="607"/>
      <c r="I21" s="607"/>
      <c r="J21" s="607"/>
      <c r="K21" s="607"/>
      <c r="L21" s="608"/>
      <c r="M21" s="606"/>
    </row>
    <row r="22" spans="1:13" ht="15" customHeight="1" x14ac:dyDescent="0.25">
      <c r="A22" s="109" t="s">
        <v>119</v>
      </c>
      <c r="B22" s="612" t="s">
        <v>112</v>
      </c>
      <c r="C22" s="31" t="s">
        <v>7</v>
      </c>
      <c r="D22" s="607"/>
      <c r="E22" s="607"/>
      <c r="F22" s="607"/>
      <c r="G22" s="607"/>
      <c r="H22" s="607"/>
      <c r="I22" s="607"/>
      <c r="J22" s="607"/>
      <c r="K22" s="607"/>
      <c r="L22" s="608"/>
      <c r="M22" s="606"/>
    </row>
    <row r="23" spans="1:13" ht="15" customHeight="1" x14ac:dyDescent="0.25">
      <c r="A23" s="110" t="s">
        <v>120</v>
      </c>
      <c r="B23" s="612" t="s">
        <v>114</v>
      </c>
      <c r="C23" s="31" t="s">
        <v>7</v>
      </c>
      <c r="D23" s="607"/>
      <c r="E23" s="607"/>
      <c r="F23" s="607"/>
      <c r="G23" s="607"/>
      <c r="H23" s="607"/>
      <c r="I23" s="607"/>
      <c r="J23" s="607"/>
      <c r="K23" s="607"/>
      <c r="L23" s="608"/>
      <c r="M23" s="606"/>
    </row>
    <row r="24" spans="1:13" ht="15" customHeight="1" x14ac:dyDescent="0.25">
      <c r="A24" s="109" t="s">
        <v>121</v>
      </c>
      <c r="B24" s="612" t="s">
        <v>116</v>
      </c>
      <c r="C24" s="31" t="s">
        <v>7</v>
      </c>
      <c r="D24" s="607"/>
      <c r="E24" s="607"/>
      <c r="F24" s="607"/>
      <c r="G24" s="607"/>
      <c r="H24" s="607"/>
      <c r="I24" s="607"/>
      <c r="J24" s="607"/>
      <c r="K24" s="607"/>
      <c r="L24" s="608"/>
      <c r="M24" s="606"/>
    </row>
    <row r="25" spans="1:13" ht="15" customHeight="1" x14ac:dyDescent="0.25">
      <c r="A25" s="110" t="s">
        <v>122</v>
      </c>
      <c r="B25" s="612" t="s">
        <v>9</v>
      </c>
      <c r="C25" s="31" t="s">
        <v>7</v>
      </c>
      <c r="D25" s="607"/>
      <c r="E25" s="607"/>
      <c r="F25" s="607"/>
      <c r="G25" s="607"/>
      <c r="H25" s="607"/>
      <c r="I25" s="607"/>
      <c r="J25" s="607"/>
      <c r="K25" s="607"/>
      <c r="L25" s="608"/>
      <c r="M25" s="606"/>
    </row>
    <row r="26" spans="1:13" ht="15" customHeight="1" x14ac:dyDescent="0.25">
      <c r="A26" s="59">
        <v>2</v>
      </c>
      <c r="B26" s="34" t="s">
        <v>123</v>
      </c>
      <c r="C26" s="31" t="s">
        <v>7</v>
      </c>
      <c r="D26" s="41">
        <f>SUM(D27:D28)</f>
        <v>0</v>
      </c>
      <c r="E26" s="41">
        <f>SUM(E27:E28)</f>
        <v>0</v>
      </c>
      <c r="F26" s="41">
        <f t="shared" ref="F26:L26" si="1">SUM(F27:F28)</f>
        <v>0</v>
      </c>
      <c r="G26" s="41">
        <f t="shared" si="1"/>
        <v>0</v>
      </c>
      <c r="H26" s="41">
        <f t="shared" si="1"/>
        <v>0</v>
      </c>
      <c r="I26" s="41">
        <f t="shared" si="1"/>
        <v>0</v>
      </c>
      <c r="J26" s="41">
        <f t="shared" si="1"/>
        <v>0</v>
      </c>
      <c r="K26" s="41">
        <f t="shared" si="1"/>
        <v>0</v>
      </c>
      <c r="L26" s="41">
        <f t="shared" si="1"/>
        <v>0</v>
      </c>
      <c r="M26" s="606"/>
    </row>
    <row r="27" spans="1:13" ht="15" customHeight="1" x14ac:dyDescent="0.25">
      <c r="A27" s="110">
        <v>2.1</v>
      </c>
      <c r="B27" s="611" t="s">
        <v>124</v>
      </c>
      <c r="C27" s="31" t="s">
        <v>7</v>
      </c>
      <c r="D27" s="607"/>
      <c r="E27" s="607"/>
      <c r="F27" s="607"/>
      <c r="G27" s="607"/>
      <c r="H27" s="607"/>
      <c r="I27" s="607"/>
      <c r="J27" s="607"/>
      <c r="K27" s="607"/>
      <c r="L27" s="608"/>
      <c r="M27" s="606"/>
    </row>
    <row r="28" spans="1:13" ht="15" customHeight="1" x14ac:dyDescent="0.25">
      <c r="A28" s="110">
        <v>2.2000000000000002</v>
      </c>
      <c r="B28" s="611" t="s">
        <v>125</v>
      </c>
      <c r="C28" s="31" t="s">
        <v>7</v>
      </c>
      <c r="D28" s="607"/>
      <c r="E28" s="607"/>
      <c r="F28" s="607"/>
      <c r="G28" s="607"/>
      <c r="H28" s="607"/>
      <c r="I28" s="607"/>
      <c r="J28" s="607"/>
      <c r="K28" s="607"/>
      <c r="L28" s="608"/>
      <c r="M28" s="606"/>
    </row>
    <row r="29" spans="1:13" ht="15" customHeight="1" x14ac:dyDescent="0.25">
      <c r="A29" s="59">
        <v>3</v>
      </c>
      <c r="B29" s="34" t="s">
        <v>126</v>
      </c>
      <c r="C29" s="31" t="s">
        <v>7</v>
      </c>
      <c r="D29" s="41">
        <f>SUM(D30:D35)</f>
        <v>0</v>
      </c>
      <c r="E29" s="41">
        <f>SUM(E30:E35)</f>
        <v>0</v>
      </c>
      <c r="F29" s="41">
        <f t="shared" ref="F29:L29" si="2">SUM(F30:F35)</f>
        <v>0</v>
      </c>
      <c r="G29" s="41">
        <f t="shared" si="2"/>
        <v>0</v>
      </c>
      <c r="H29" s="41">
        <f t="shared" si="2"/>
        <v>0</v>
      </c>
      <c r="I29" s="41">
        <f t="shared" si="2"/>
        <v>0</v>
      </c>
      <c r="J29" s="41">
        <f t="shared" si="2"/>
        <v>0</v>
      </c>
      <c r="K29" s="41">
        <f t="shared" si="2"/>
        <v>0</v>
      </c>
      <c r="L29" s="41">
        <f t="shared" si="2"/>
        <v>0</v>
      </c>
      <c r="M29" s="606"/>
    </row>
    <row r="30" spans="1:13" ht="15" customHeight="1" x14ac:dyDescent="0.25">
      <c r="A30" s="110">
        <v>3.1</v>
      </c>
      <c r="B30" s="611" t="s">
        <v>127</v>
      </c>
      <c r="C30" s="31" t="s">
        <v>7</v>
      </c>
      <c r="D30" s="607"/>
      <c r="E30" s="607"/>
      <c r="F30" s="607"/>
      <c r="G30" s="607"/>
      <c r="H30" s="607"/>
      <c r="I30" s="607"/>
      <c r="J30" s="607"/>
      <c r="K30" s="607"/>
      <c r="L30" s="608"/>
      <c r="M30" s="606"/>
    </row>
    <row r="31" spans="1:13" ht="15" customHeight="1" x14ac:dyDescent="0.25">
      <c r="A31" s="110">
        <v>3.2</v>
      </c>
      <c r="B31" s="611" t="s">
        <v>128</v>
      </c>
      <c r="C31" s="31" t="s">
        <v>7</v>
      </c>
      <c r="D31" s="607"/>
      <c r="E31" s="607"/>
      <c r="F31" s="607"/>
      <c r="G31" s="607"/>
      <c r="H31" s="607"/>
      <c r="I31" s="607"/>
      <c r="J31" s="607"/>
      <c r="K31" s="607"/>
      <c r="L31" s="608"/>
      <c r="M31" s="606"/>
    </row>
    <row r="32" spans="1:13" ht="30" customHeight="1" x14ac:dyDescent="0.25">
      <c r="A32" s="110">
        <v>3.3</v>
      </c>
      <c r="B32" s="611" t="s">
        <v>129</v>
      </c>
      <c r="C32" s="31" t="s">
        <v>7</v>
      </c>
      <c r="D32" s="607"/>
      <c r="E32" s="607"/>
      <c r="F32" s="607"/>
      <c r="G32" s="607"/>
      <c r="H32" s="607"/>
      <c r="I32" s="607"/>
      <c r="J32" s="607"/>
      <c r="K32" s="607"/>
      <c r="L32" s="608"/>
      <c r="M32" s="606"/>
    </row>
    <row r="33" spans="1:15" ht="15" customHeight="1" x14ac:dyDescent="0.25">
      <c r="A33" s="110">
        <v>3.4</v>
      </c>
      <c r="B33" s="611" t="s">
        <v>106</v>
      </c>
      <c r="C33" s="31" t="s">
        <v>7</v>
      </c>
      <c r="D33" s="607"/>
      <c r="E33" s="607"/>
      <c r="F33" s="607"/>
      <c r="G33" s="607"/>
      <c r="H33" s="607"/>
      <c r="I33" s="607"/>
      <c r="J33" s="607"/>
      <c r="K33" s="607"/>
      <c r="L33" s="608"/>
      <c r="M33" s="606"/>
    </row>
    <row r="34" spans="1:15" ht="15" customHeight="1" x14ac:dyDescent="0.25">
      <c r="A34" s="110">
        <v>3.5</v>
      </c>
      <c r="B34" s="611" t="s">
        <v>130</v>
      </c>
      <c r="C34" s="31" t="s">
        <v>7</v>
      </c>
      <c r="D34" s="607"/>
      <c r="E34" s="607"/>
      <c r="F34" s="607"/>
      <c r="G34" s="607"/>
      <c r="H34" s="607"/>
      <c r="I34" s="607"/>
      <c r="J34" s="607"/>
      <c r="K34" s="607"/>
      <c r="L34" s="608"/>
      <c r="M34" s="606"/>
    </row>
    <row r="35" spans="1:15" ht="30" customHeight="1" x14ac:dyDescent="0.25">
      <c r="A35" s="110">
        <v>3.6</v>
      </c>
      <c r="B35" s="611" t="s">
        <v>131</v>
      </c>
      <c r="C35" s="31" t="s">
        <v>7</v>
      </c>
      <c r="D35" s="607"/>
      <c r="E35" s="607"/>
      <c r="F35" s="607"/>
      <c r="G35" s="607"/>
      <c r="H35" s="607"/>
      <c r="I35" s="607"/>
      <c r="J35" s="607"/>
      <c r="K35" s="607"/>
      <c r="L35" s="608"/>
      <c r="M35" s="606"/>
    </row>
    <row r="36" spans="1:15" ht="21" customHeight="1" x14ac:dyDescent="0.25">
      <c r="F36" s="29"/>
      <c r="G36" s="29"/>
      <c r="H36" s="29"/>
      <c r="I36" s="29"/>
      <c r="J36" s="29"/>
      <c r="K36" s="29"/>
      <c r="L36" s="29"/>
      <c r="M36" s="29"/>
    </row>
    <row r="37" spans="1:15" s="61" customFormat="1" ht="14.25" x14ac:dyDescent="0.2">
      <c r="B37" s="69"/>
      <c r="C37" s="69" t="s">
        <v>173</v>
      </c>
      <c r="D37" s="69"/>
      <c r="E37" s="69"/>
      <c r="F37" s="69"/>
      <c r="G37" s="69"/>
      <c r="H37" s="69"/>
      <c r="I37" s="69" t="s">
        <v>34</v>
      </c>
      <c r="J37" s="69"/>
      <c r="M37" s="73"/>
      <c r="N37" s="69"/>
      <c r="O37" s="69"/>
    </row>
    <row r="38" spans="1:15" s="61" customFormat="1" ht="14.25" x14ac:dyDescent="0.2">
      <c r="B38" s="102"/>
      <c r="C38" s="102"/>
      <c r="D38" s="102"/>
      <c r="E38" s="102"/>
      <c r="F38" s="102"/>
      <c r="G38" s="102"/>
      <c r="H38" s="102"/>
      <c r="I38" s="102"/>
      <c r="J38" s="102"/>
      <c r="M38" s="73"/>
      <c r="N38" s="102"/>
      <c r="O38" s="102"/>
    </row>
    <row r="39" spans="1:15" s="61" customFormat="1" ht="15" customHeight="1" x14ac:dyDescent="0.2">
      <c r="B39" s="69"/>
      <c r="C39" s="114" t="s">
        <v>290</v>
      </c>
      <c r="D39" s="69"/>
      <c r="E39" s="895"/>
      <c r="F39" s="895"/>
      <c r="G39" s="895"/>
      <c r="H39" s="69"/>
      <c r="I39" s="69" t="s">
        <v>36</v>
      </c>
      <c r="K39" s="895"/>
      <c r="L39" s="895"/>
      <c r="M39" s="895"/>
      <c r="N39" s="69"/>
      <c r="O39" s="69"/>
    </row>
    <row r="40" spans="1:15" ht="21" customHeight="1" x14ac:dyDescent="0.25">
      <c r="A40" s="35"/>
      <c r="E40" s="1088" t="s">
        <v>1440</v>
      </c>
      <c r="F40" s="1088"/>
      <c r="G40" s="1088"/>
    </row>
  </sheetData>
  <sheetProtection algorithmName="SHA-512" hashValue="FJvCAeHJGH65gkwLv2L49ZnvmUXpROl8DsSvvxtidu5B+X5Lbuu7yr5rjOr+T6dACb9GoKwmS0zpMK3nJqY3Gg==" saltValue="8y4MHESI72KfmFy+8nhI0A==" spinCount="100000" sheet="1" objects="1" scenarios="1" selectLockedCells="1"/>
  <mergeCells count="19">
    <mergeCell ref="B1:I3"/>
    <mergeCell ref="L4:O4"/>
    <mergeCell ref="I5:J5"/>
    <mergeCell ref="I7:J7"/>
    <mergeCell ref="A9:B9"/>
    <mergeCell ref="I9:J9"/>
    <mergeCell ref="L1:M1"/>
    <mergeCell ref="E40:G40"/>
    <mergeCell ref="I6:J6"/>
    <mergeCell ref="I8:J8"/>
    <mergeCell ref="E39:G39"/>
    <mergeCell ref="K39:M39"/>
    <mergeCell ref="A12:M12"/>
    <mergeCell ref="A13:A14"/>
    <mergeCell ref="B13:B14"/>
    <mergeCell ref="C13:C14"/>
    <mergeCell ref="D13:D14"/>
    <mergeCell ref="E13:M13"/>
    <mergeCell ref="I10:J10"/>
  </mergeCells>
  <dataValidations count="1">
    <dataValidation type="decimal" allowBlank="1" showInputMessage="1" showErrorMessage="1" errorTitle="Анхаар" error="Зөвхөн тоо оруулна уу." sqref="D16:L25 D27:L28 D30:L35">
      <formula1>-9.99999999999999E+35</formula1>
      <formula2>9.99999999999999E+36</formula2>
    </dataValidation>
  </dataValidations>
  <pageMargins left="0.25" right="0.25" top="0.75" bottom="0.75" header="0.3" footer="0.3"/>
  <pageSetup scale="9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168</vt:i4>
      </vt:variant>
    </vt:vector>
  </HeadingPairs>
  <TitlesOfParts>
    <vt:vector size="190" baseType="lpstr">
      <vt:lpstr>Source</vt:lpstr>
      <vt:lpstr>Rowdesign</vt:lpstr>
      <vt:lpstr>CForm-2</vt:lpstr>
      <vt:lpstr>CForm-2.1</vt:lpstr>
      <vt:lpstr>CForm-3</vt:lpstr>
      <vt:lpstr>CForm-4</vt:lpstr>
      <vt:lpstr>CForm-5</vt:lpstr>
      <vt:lpstr>CForm-6-1</vt:lpstr>
      <vt:lpstr>CForm-6-2</vt:lpstr>
      <vt:lpstr>CForm-7</vt:lpstr>
      <vt:lpstr>CForm-8</vt:lpstr>
      <vt:lpstr>CForm-9</vt:lpstr>
      <vt:lpstr>CForm-10</vt:lpstr>
      <vt:lpstr>CForm-11</vt:lpstr>
      <vt:lpstr>CForm-12</vt:lpstr>
      <vt:lpstr>CForm-13</vt:lpstr>
      <vt:lpstr>CForm-14</vt:lpstr>
      <vt:lpstr>CForm-15</vt:lpstr>
      <vt:lpstr>CForm-16</vt:lpstr>
      <vt:lpstr>CForm-17</vt:lpstr>
      <vt:lpstr>CForm-18</vt:lpstr>
      <vt:lpstr>CForm-19</vt:lpstr>
      <vt:lpstr>a_1</vt:lpstr>
      <vt:lpstr>a_10</vt:lpstr>
      <vt:lpstr>a_11</vt:lpstr>
      <vt:lpstr>a_12</vt:lpstr>
      <vt:lpstr>a_13</vt:lpstr>
      <vt:lpstr>a_14</vt:lpstr>
      <vt:lpstr>a_15</vt:lpstr>
      <vt:lpstr>a_16</vt:lpstr>
      <vt:lpstr>a_17</vt:lpstr>
      <vt:lpstr>a_18</vt:lpstr>
      <vt:lpstr>a_19</vt:lpstr>
      <vt:lpstr>a_2</vt:lpstr>
      <vt:lpstr>a_20</vt:lpstr>
      <vt:lpstr>a_21</vt:lpstr>
      <vt:lpstr>a_22</vt:lpstr>
      <vt:lpstr>a_23</vt:lpstr>
      <vt:lpstr>a_24</vt:lpstr>
      <vt:lpstr>a_25</vt:lpstr>
      <vt:lpstr>a_26</vt:lpstr>
      <vt:lpstr>a_27</vt:lpstr>
      <vt:lpstr>a_28</vt:lpstr>
      <vt:lpstr>a_29</vt:lpstr>
      <vt:lpstr>a_3</vt:lpstr>
      <vt:lpstr>a_30</vt:lpstr>
      <vt:lpstr>a_31</vt:lpstr>
      <vt:lpstr>a_32</vt:lpstr>
      <vt:lpstr>a_33</vt:lpstr>
      <vt:lpstr>a_34</vt:lpstr>
      <vt:lpstr>a_35</vt:lpstr>
      <vt:lpstr>a_36</vt:lpstr>
      <vt:lpstr>a_37</vt:lpstr>
      <vt:lpstr>a_38</vt:lpstr>
      <vt:lpstr>a_39</vt:lpstr>
      <vt:lpstr>a_4</vt:lpstr>
      <vt:lpstr>a_40</vt:lpstr>
      <vt:lpstr>a_41</vt:lpstr>
      <vt:lpstr>a_42</vt:lpstr>
      <vt:lpstr>a_43</vt:lpstr>
      <vt:lpstr>a_44</vt:lpstr>
      <vt:lpstr>a_45</vt:lpstr>
      <vt:lpstr>a_5</vt:lpstr>
      <vt:lpstr>a_6</vt:lpstr>
      <vt:lpstr>a_7</vt:lpstr>
      <vt:lpstr>a_8</vt:lpstr>
      <vt:lpstr>a_9</vt:lpstr>
      <vt:lpstr>'CForm-18'!a_turul</vt:lpstr>
      <vt:lpstr>a_turul</vt:lpstr>
      <vt:lpstr>aa_1</vt:lpstr>
      <vt:lpstr>aa_10</vt:lpstr>
      <vt:lpstr>aa_11</vt:lpstr>
      <vt:lpstr>aa_12</vt:lpstr>
      <vt:lpstr>aa_13</vt:lpstr>
      <vt:lpstr>aa_14</vt:lpstr>
      <vt:lpstr>aa_15</vt:lpstr>
      <vt:lpstr>aa_16</vt:lpstr>
      <vt:lpstr>aa_17</vt:lpstr>
      <vt:lpstr>aa_18</vt:lpstr>
      <vt:lpstr>aa_19</vt:lpstr>
      <vt:lpstr>aa_2</vt:lpstr>
      <vt:lpstr>aa_20</vt:lpstr>
      <vt:lpstr>aa_22</vt:lpstr>
      <vt:lpstr>aa_3</vt:lpstr>
      <vt:lpstr>aa_31</vt:lpstr>
      <vt:lpstr>aa_39</vt:lpstr>
      <vt:lpstr>aa_4</vt:lpstr>
      <vt:lpstr>aa_40</vt:lpstr>
      <vt:lpstr>aa_41</vt:lpstr>
      <vt:lpstr>aa_43</vt:lpstr>
      <vt:lpstr>aa_44</vt:lpstr>
      <vt:lpstr>aa_5</vt:lpstr>
      <vt:lpstr>aa_6</vt:lpstr>
      <vt:lpstr>aa_7</vt:lpstr>
      <vt:lpstr>aa_8</vt:lpstr>
      <vt:lpstr>aa_9</vt:lpstr>
      <vt:lpstr>ab_1</vt:lpstr>
      <vt:lpstr>ab_10</vt:lpstr>
      <vt:lpstr>ab_11</vt:lpstr>
      <vt:lpstr>ab_12</vt:lpstr>
      <vt:lpstr>ab_13</vt:lpstr>
      <vt:lpstr>ab_14</vt:lpstr>
      <vt:lpstr>ab_15</vt:lpstr>
      <vt:lpstr>ab_2</vt:lpstr>
      <vt:lpstr>ab_3</vt:lpstr>
      <vt:lpstr>ab_4</vt:lpstr>
      <vt:lpstr>ab_5</vt:lpstr>
      <vt:lpstr>ab_6</vt:lpstr>
      <vt:lpstr>ab_7</vt:lpstr>
      <vt:lpstr>ab_8</vt:lpstr>
      <vt:lpstr>ab_9</vt:lpstr>
      <vt:lpstr>'CForm-18'!aguulgiin_angilal</vt:lpstr>
      <vt:lpstr>aguulgiin_angilal</vt:lpstr>
      <vt:lpstr>'CForm-18'!ajilgaa_yawuulsan_jil</vt:lpstr>
      <vt:lpstr>ajilgaa_yawuulsan_jil</vt:lpstr>
      <vt:lpstr>bayjuulaltiin_tehnik</vt:lpstr>
      <vt:lpstr>'CForm-18'!bayjuulaltiin_tehnilogi</vt:lpstr>
      <vt:lpstr>bayjuulaltiin_tehnilogi</vt:lpstr>
      <vt:lpstr>borluulalt_dotood</vt:lpstr>
      <vt:lpstr>'CForm-18'!borluulalt_uls</vt:lpstr>
      <vt:lpstr>borluulalt_uls</vt:lpstr>
      <vt:lpstr>'CForm-18'!borluulaltiin_negj</vt:lpstr>
      <vt:lpstr>borluulaltiin_negj</vt:lpstr>
      <vt:lpstr>c_14</vt:lpstr>
      <vt:lpstr>c_3</vt:lpstr>
      <vt:lpstr>cc_14</vt:lpstr>
      <vt:lpstr>cc_3</vt:lpstr>
      <vt:lpstr>ccc_14</vt:lpstr>
      <vt:lpstr>ccc_3</vt:lpstr>
      <vt:lpstr>cccc_14</vt:lpstr>
      <vt:lpstr>cccc_3</vt:lpstr>
      <vt:lpstr>curr2</vt:lpstr>
      <vt:lpstr>'CForm-18'!currency</vt:lpstr>
      <vt:lpstr>currency</vt:lpstr>
      <vt:lpstr>export_uls</vt:lpstr>
      <vt:lpstr>nuurs_o_turul</vt:lpstr>
      <vt:lpstr>nuurs_turul</vt:lpstr>
      <vt:lpstr>'CForm-18'!nuutsiin_zereg</vt:lpstr>
      <vt:lpstr>nuutsiin_zereg</vt:lpstr>
      <vt:lpstr>'CForm-18'!saruud</vt:lpstr>
      <vt:lpstr>saruud</vt:lpstr>
      <vt:lpstr>tashilgaanii_eh_uuswer</vt:lpstr>
      <vt:lpstr>'CForm-18'!tehnik_7</vt:lpstr>
      <vt:lpstr>tehnik_7</vt:lpstr>
      <vt:lpstr>'CForm-18'!tehnik_8_1</vt:lpstr>
      <vt:lpstr>tehnik_8_1</vt:lpstr>
      <vt:lpstr>'CForm-18'!tehnik_8_2</vt:lpstr>
      <vt:lpstr>tehnik_8_2</vt:lpstr>
      <vt:lpstr>'CForm-18'!tehnik_turul_8_1</vt:lpstr>
      <vt:lpstr>tehnik_turul_8_1</vt:lpstr>
      <vt:lpstr>'CForm-18'!tehnik_uild_on</vt:lpstr>
      <vt:lpstr>tehnik_uild_on</vt:lpstr>
      <vt:lpstr>'CForm-18'!tehnik_uls_8_1</vt:lpstr>
      <vt:lpstr>tehnik_uls_8_1</vt:lpstr>
      <vt:lpstr>'CForm-18'!tehnikiin_hemjih</vt:lpstr>
      <vt:lpstr>tehnikiin_hemjih</vt:lpstr>
      <vt:lpstr>'CForm-18'!tehnikiin_on</vt:lpstr>
      <vt:lpstr>tehnikiin_on</vt:lpstr>
      <vt:lpstr>tehnikiin_turul</vt:lpstr>
      <vt:lpstr>tehnikiin_turul_dald</vt:lpstr>
      <vt:lpstr>tehnikiin_uildwerlegch</vt:lpstr>
      <vt:lpstr>'CForm-18'!tehnikiin_uls</vt:lpstr>
      <vt:lpstr>tehnikiin_uls</vt:lpstr>
      <vt:lpstr>'CForm-18'!tehnikiin_umch</vt:lpstr>
      <vt:lpstr>tehnikiin_umch</vt:lpstr>
      <vt:lpstr>'CForm-18'!teselgeenii_alban_tushaal</vt:lpstr>
      <vt:lpstr>teselgeenii_alban_tushaal</vt:lpstr>
      <vt:lpstr>'CForm-18'!teselgeenii_bodisiin_ner</vt:lpstr>
      <vt:lpstr>teselgeenii_bodisiin_ner</vt:lpstr>
      <vt:lpstr>'CForm-18'!teselgeenii_comp</vt:lpstr>
      <vt:lpstr>teselgeenii_comp</vt:lpstr>
      <vt:lpstr>'CForm-18'!tsahilgaan_erchim_huch</vt:lpstr>
      <vt:lpstr>tsahilgaan_erchim_huch</vt:lpstr>
      <vt:lpstr>tsahilgaanii_eh</vt:lpstr>
      <vt:lpstr>'CForm-18'!usnii_eh_saw</vt:lpstr>
      <vt:lpstr>usnii_eh_saw</vt:lpstr>
      <vt:lpstr>'CForm-18'!usnii_eh_uuswer</vt:lpstr>
      <vt:lpstr>usnii_eh_uuswer</vt:lpstr>
      <vt:lpstr>'CForm-18'!yesno</vt:lpstr>
      <vt:lpstr>yesno</vt:lpstr>
      <vt:lpstr>z_1</vt:lpstr>
      <vt:lpstr>z_2</vt:lpstr>
      <vt:lpstr>z_3</vt:lpstr>
      <vt:lpstr>z_4</vt:lpstr>
      <vt:lpstr>'CForm-18'!zasag</vt:lpstr>
      <vt:lpstr>zasag</vt:lpstr>
      <vt:lpstr>'CForm-18'!zasag_bus</vt:lpstr>
      <vt:lpstr>zasag_bus</vt:lpstr>
      <vt:lpstr>'CForm-18'!zzasag_gadaad</vt:lpstr>
      <vt:lpstr>zzasag_gadaad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2018-01-18T07:40:38Z</dcterms:modified>
</cp:coreProperties>
</file>